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2" autoFilterDateGrouping="1"/>
  </bookViews>
  <sheets>
    <sheet name="Resultados" sheetId="1" state="visible" r:id="rId1"/>
    <sheet name="Beda" sheetId="2" state="visible" r:id="rId2"/>
    <sheet name="Pedro" sheetId="3" state="visible" r:id="rId3"/>
    <sheet name="Mauro" sheetId="4" state="visible" r:id="rId4"/>
    <sheet name="Rodrigo" sheetId="5" state="visible" r:id="rId5"/>
    <sheet name="Paulo" sheetId="6" state="visible" r:id="rId6"/>
    <sheet name="Su" sheetId="7" state="visible" r:id="rId7"/>
    <sheet name="Biral" sheetId="8" state="visible" r:id="rId8"/>
    <sheet name="Mané" sheetId="9" state="visible" r:id="rId9"/>
    <sheet name="Caio" sheetId="10" state="visible" r:id="rId10"/>
    <sheet name="Camps " sheetId="11" state="visible" r:id="rId11"/>
    <sheet name="Romanelli" sheetId="12" state="visible" r:id="rId12"/>
    <sheet name="AH" sheetId="13" state="visible" r:id="rId13"/>
    <sheet name="Kim" sheetId="14" state="visible" r:id="rId14"/>
    <sheet name="Total Pontos" sheetId="15" state="visible" r:id="rId15"/>
    <sheet name="Regras" sheetId="16" state="visible" r:id="rId16"/>
  </sheets>
  <definedNames>
    <definedName name="alex">#REF!</definedName>
    <definedName name="APURAÇÃO01">#REF!</definedName>
    <definedName name="denner">#REF!</definedName>
    <definedName name="joao">#REF!</definedName>
    <definedName name="lucci">#REF!</definedName>
    <definedName name="lucci_pai">#REF!</definedName>
    <definedName name="luiza">#REF!</definedName>
    <definedName name="manocchio">#REF!</definedName>
    <definedName name="marcao">#REF!</definedName>
    <definedName name="rampazzo">#REF!</definedName>
    <definedName name="stabelinni">#REF!</definedName>
    <definedName name="_xlnm._FilterDatabase" localSheetId="14" hidden="1">'Total Pontos'!$D$11:$E$11</definedName>
  </definedNames>
  <calcPr calcId="191029" fullCalcOnLoad="1" iterate="1"/>
</workbook>
</file>

<file path=xl/styles.xml><?xml version="1.0" encoding="utf-8"?>
<styleSheet xmlns="http://schemas.openxmlformats.org/spreadsheetml/2006/main">
  <numFmts count="4">
    <numFmt numFmtId="164" formatCode="&quot;R$ &quot;#,##0.00;[Red]&quot;-R$ &quot;#,##0.00"/>
    <numFmt numFmtId="165" formatCode="d\-mmm"/>
    <numFmt numFmtId="166" formatCode="ddd"/>
    <numFmt numFmtId="167" formatCode="&quot;R$&quot;\ #,##0.00;[Red]\-&quot;R$&quot;\ #,##0.00"/>
  </numFmts>
  <fonts count="35">
    <font>
      <name val="Arial"/>
      <charset val="1"/>
      <sz val="10"/>
    </font>
    <font>
      <name val="Calibri"/>
      <charset val="1"/>
      <family val="2"/>
      <color theme="10"/>
      <sz val="11"/>
      <u val="single"/>
    </font>
    <font>
      <name val="Arial"/>
      <charset val="1"/>
      <family val="2"/>
      <sz val="10"/>
    </font>
    <font>
      <name val="Calibri"/>
      <charset val="1"/>
      <family val="2"/>
      <color theme="1"/>
      <sz val="11"/>
    </font>
    <font>
      <name val="Calibri"/>
      <charset val="1"/>
      <family val="2"/>
      <b val="1"/>
      <color rgb="FF008000"/>
      <sz val="16"/>
    </font>
    <font>
      <name val="Calibri"/>
      <charset val="1"/>
      <family val="2"/>
      <b val="1"/>
      <color rgb="FFFF0000"/>
      <sz val="14"/>
    </font>
    <font>
      <name val="Calibri"/>
      <charset val="1"/>
      <family val="2"/>
      <b val="1"/>
      <sz val="14"/>
    </font>
    <font>
      <name val="Arial"/>
      <charset val="1"/>
      <family val="2"/>
      <b val="1"/>
      <color theme="0" tint="-0.0499893185216834"/>
      <sz val="10"/>
    </font>
    <font>
      <name val="Arial"/>
      <charset val="1"/>
      <family val="2"/>
      <b val="1"/>
      <sz val="10"/>
    </font>
    <font>
      <name val="Calibri"/>
      <charset val="1"/>
      <family val="2"/>
      <b val="1"/>
      <color theme="1"/>
      <sz val="11"/>
    </font>
    <font>
      <name val="Verdana"/>
      <charset val="1"/>
      <family val="2"/>
      <sz val="10"/>
    </font>
    <font>
      <name val="Arial"/>
      <charset val="1"/>
      <family val="2"/>
      <b val="1"/>
      <color rgb="FF00B050"/>
      <sz val="10"/>
    </font>
    <font>
      <name val="Arial"/>
      <charset val="1"/>
      <color theme="10"/>
      <sz val="10"/>
      <u val="single"/>
    </font>
    <font>
      <name val="Arial"/>
      <charset val="1"/>
      <family val="2"/>
      <color rgb="FF0000FF"/>
      <sz val="12"/>
    </font>
    <font>
      <name val="Arial"/>
      <charset val="1"/>
      <family val="2"/>
      <color rgb="FF000000"/>
      <sz val="12"/>
    </font>
    <font>
      <name val="Arial"/>
      <charset val="1"/>
      <family val="2"/>
      <color rgb="FF242424"/>
      <sz val="12"/>
    </font>
    <font>
      <name val="Arial"/>
      <charset val="1"/>
      <family val="2"/>
      <b val="1"/>
      <color rgb="FF000000"/>
      <sz val="12"/>
    </font>
    <font>
      <name val="Arial"/>
      <sz val="10"/>
    </font>
    <font>
      <name val="Arial"/>
      <family val="2"/>
      <sz val="10"/>
    </font>
    <font>
      <name val="Verdana"/>
      <family val="2"/>
      <sz val="10"/>
    </font>
    <font>
      <name val="Arial"/>
      <family val="2"/>
      <b val="1"/>
      <sz val="10"/>
    </font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b val="1"/>
      <color theme="1"/>
      <sz val="11"/>
      <scheme val="minor"/>
    </font>
    <font>
      <name val="Arial"/>
      <family val="2"/>
      <b val="1"/>
      <color theme="0" tint="-0.0499893185216834"/>
      <sz val="10"/>
    </font>
    <font>
      <name val="Arial"/>
      <family val="2"/>
      <b val="1"/>
      <color rgb="FF00B050"/>
      <sz val="10"/>
    </font>
    <font>
      <name val="Calibri"/>
      <family val="2"/>
      <b val="1"/>
      <color indexed="17"/>
      <sz val="16"/>
      <scheme val="minor"/>
    </font>
    <font>
      <name val="Calibri"/>
      <family val="2"/>
      <b val="1"/>
      <color indexed="10"/>
      <sz val="14"/>
      <scheme val="minor"/>
    </font>
    <font>
      <name val="Calibri"/>
      <family val="2"/>
      <b val="1"/>
      <sz val="14"/>
      <scheme val="minor"/>
    </font>
    <font>
      <name val="Calibri"/>
      <family val="2"/>
      <b val="1"/>
      <color rgb="FFFF0000"/>
      <sz val="14"/>
      <scheme val="minor"/>
    </font>
    <font>
      <name val="Arial"/>
      <b val="1"/>
      <sz val="10"/>
    </font>
    <font>
      <name val="Arial"/>
      <b val="1"/>
      <color rgb="FF0000FF"/>
      <sz val="10"/>
    </font>
    <font>
      <name val="Arial"/>
      <i val="1"/>
      <color rgb="FF404040"/>
      <sz val="10"/>
    </font>
    <font>
      <name val="Calibri"/>
      <family val="2"/>
      <sz val="14"/>
      <scheme val="minor"/>
    </font>
    <font>
      <name val="Arial"/>
      <family val="2"/>
      <color rgb="FFFF0000"/>
      <sz val="10"/>
    </font>
  </fonts>
  <fills count="20">
    <fill>
      <patternFill/>
    </fill>
    <fill>
      <patternFill patternType="gray125"/>
    </fill>
    <fill>
      <patternFill patternType="solid">
        <fgColor theme="0" tint="-0.1499984740745262"/>
        <bgColor rgb="FFDAE3F3"/>
      </patternFill>
    </fill>
    <fill>
      <patternFill patternType="solid">
        <fgColor rgb="FFFFFF00"/>
        <bgColor rgb="FFFFFF00"/>
      </patternFill>
    </fill>
    <fill>
      <patternFill patternType="solid">
        <fgColor theme="9" tint="0.7998901333658864"/>
        <bgColor rgb="FFF2F2F2"/>
      </patternFill>
    </fill>
    <fill>
      <patternFill patternType="solid">
        <fgColor rgb="FF00B050"/>
        <bgColor rgb="FF008080"/>
      </patternFill>
    </fill>
    <fill>
      <patternFill patternType="solid">
        <fgColor theme="5" tint="0.5998718222602009"/>
        <bgColor rgb="FFD9D9D9"/>
      </patternFill>
    </fill>
    <fill>
      <patternFill patternType="solid">
        <fgColor rgb="FFFFFF99"/>
        <bgColor rgb="FFFFFFCC"/>
      </patternFill>
    </fill>
    <fill>
      <patternFill patternType="solid">
        <fgColor theme="8" tint="0.3998840296639912"/>
        <bgColor rgb="FF969696"/>
      </patternFill>
    </fill>
    <fill>
      <patternFill patternType="solid">
        <fgColor theme="8" tint="0.5998718222602009"/>
        <bgColor rgb="FF99CCFF"/>
      </patternFill>
    </fill>
    <fill>
      <patternFill patternType="solid">
        <fgColor theme="8" tint="0.7998901333658864"/>
        <bgColor rgb="FFD9D9D9"/>
      </patternFill>
    </fill>
    <fill>
      <patternFill patternType="solid">
        <fgColor indexed="4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"/>
        <bgColor indexed="64"/>
      </patternFill>
    </fill>
  </fills>
  <borders count="13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 style="medium">
        <color auto="1"/>
      </top>
      <bottom style="medium">
        <color auto="1"/>
      </bottom>
      <diagonal/>
    </border>
  </borders>
  <cellStyleXfs count="12">
    <xf numFmtId="0" fontId="0" fillId="0" borderId="0"/>
    <xf numFmtId="0" fontId="12" fillId="0" borderId="0"/>
    <xf numFmtId="0" fontId="1" fillId="0" borderId="0"/>
    <xf numFmtId="0" fontId="1" fillId="0" borderId="0"/>
    <xf numFmtId="0" fontId="2" fillId="0" borderId="0"/>
    <xf numFmtId="0" fontId="2" fillId="0" borderId="0"/>
    <xf numFmtId="0" fontId="3" fillId="0" borderId="0"/>
    <xf numFmtId="0" fontId="17" fillId="0" borderId="0"/>
    <xf numFmtId="0" fontId="22" fillId="0" borderId="0"/>
    <xf numFmtId="0" fontId="18" fillId="0" borderId="0"/>
    <xf numFmtId="0" fontId="21" fillId="0" borderId="0"/>
    <xf numFmtId="0" fontId="22" fillId="0" borderId="0"/>
  </cellStyleXfs>
  <cellXfs count="121">
    <xf numFmtId="0" fontId="0" fillId="0" borderId="0" pivotButton="0" quotePrefix="0" xfId="0"/>
    <xf numFmtId="0" fontId="7" fillId="5" borderId="5" applyAlignment="1" pivotButton="0" quotePrefix="0" xfId="0">
      <alignment horizontal="center"/>
    </xf>
    <xf numFmtId="0" fontId="2" fillId="0" borderId="0" pivotButton="0" quotePrefix="0" xfId="0"/>
    <xf numFmtId="164" fontId="5" fillId="3" borderId="3" applyAlignment="1" pivotButton="0" quotePrefix="0" xfId="0">
      <alignment horizontal="left"/>
    </xf>
    <xf numFmtId="0" fontId="5" fillId="4" borderId="4" pivotButton="0" quotePrefix="0" xfId="0"/>
    <xf numFmtId="0" fontId="5" fillId="4" borderId="1" pivotButton="0" quotePrefix="0" xfId="0"/>
    <xf numFmtId="0" fontId="7" fillId="5" borderId="5" pivotButton="0" quotePrefix="0" xfId="0"/>
    <xf numFmtId="0" fontId="7" fillId="5" borderId="6" pivotButton="0" quotePrefix="0" xfId="0"/>
    <xf numFmtId="0" fontId="7" fillId="5" borderId="6" applyAlignment="1" pivotButton="0" quotePrefix="0" xfId="0">
      <alignment horizontal="center"/>
    </xf>
    <xf numFmtId="0" fontId="7" fillId="5" borderId="0" applyAlignment="1" pivotButton="0" quotePrefix="0" xfId="0">
      <alignment horizontal="center"/>
    </xf>
    <xf numFmtId="0" fontId="7" fillId="5" borderId="7" applyAlignment="1" pivotButton="0" quotePrefix="0" xfId="0">
      <alignment horizontal="center"/>
    </xf>
    <xf numFmtId="0" fontId="2" fillId="2" borderId="8" applyAlignment="1" pivotButton="0" quotePrefix="0" xfId="0">
      <alignment horizontal="center"/>
    </xf>
    <xf numFmtId="0" fontId="8" fillId="6" borderId="8" pivotButton="0" quotePrefix="0" xfId="0"/>
    <xf numFmtId="0" fontId="2" fillId="0" borderId="8" applyAlignment="1" applyProtection="1" pivotButton="0" quotePrefix="0" xfId="0">
      <alignment horizontal="center"/>
      <protection locked="0" hidden="0"/>
    </xf>
    <xf numFmtId="0" fontId="8" fillId="7" borderId="8" applyAlignment="1" applyProtection="1" pivotButton="0" quotePrefix="0" xfId="0">
      <alignment horizontal="center"/>
      <protection locked="0" hidden="0"/>
    </xf>
    <xf numFmtId="165" fontId="9" fillId="8" borderId="8" applyAlignment="1" pivotButton="0" quotePrefix="0" xfId="0">
      <alignment horizontal="center"/>
    </xf>
    <xf numFmtId="166" fontId="10" fillId="9" borderId="8" applyAlignment="1" pivotButton="0" quotePrefix="0" xfId="0">
      <alignment horizontal="center"/>
    </xf>
    <xf numFmtId="20" fontId="0" fillId="10" borderId="8" applyAlignment="1" pivotButton="0" quotePrefix="0" xfId="0">
      <alignment horizontal="center"/>
    </xf>
    <xf numFmtId="0" fontId="11" fillId="3" borderId="8" pivotButton="0" quotePrefix="0" xfId="0"/>
    <xf numFmtId="0" fontId="6" fillId="4" borderId="4" pivotButton="0" quotePrefix="0" xfId="0"/>
    <xf numFmtId="0" fontId="8" fillId="2" borderId="8" pivotButton="0" quotePrefix="0" xfId="0"/>
    <xf numFmtId="0" fontId="2" fillId="2" borderId="8" applyAlignment="1" applyProtection="1" pivotButton="0" quotePrefix="0" xfId="0">
      <alignment horizontal="center"/>
      <protection locked="0" hidden="0"/>
    </xf>
    <xf numFmtId="0" fontId="8" fillId="2" borderId="8" applyAlignment="1" applyProtection="1" pivotButton="0" quotePrefix="0" xfId="0">
      <alignment horizontal="center"/>
      <protection locked="0" hidden="0"/>
    </xf>
    <xf numFmtId="165" fontId="9" fillId="2" borderId="8" applyAlignment="1" pivotButton="0" quotePrefix="0" xfId="0">
      <alignment horizontal="center"/>
    </xf>
    <xf numFmtId="166" fontId="10" fillId="2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0" fontId="13" fillId="0" borderId="0" applyAlignment="1" pivotButton="0" quotePrefix="0" xfId="0">
      <alignment vertical="center"/>
    </xf>
    <xf numFmtId="0" fontId="14" fillId="0" borderId="0" applyAlignment="1" pivotButton="0" quotePrefix="0" xfId="0">
      <alignment vertical="center"/>
    </xf>
    <xf numFmtId="0" fontId="15" fillId="0" borderId="0" applyAlignment="1" pivotButton="0" quotePrefix="0" xfId="0">
      <alignment vertical="center"/>
    </xf>
    <xf numFmtId="0" fontId="16" fillId="0" borderId="0" applyAlignment="1" pivotButton="0" quotePrefix="0" xfId="0">
      <alignment vertical="center"/>
    </xf>
    <xf numFmtId="0" fontId="0" fillId="0" borderId="8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0" fillId="0" borderId="8" applyAlignment="1" pivotButton="0" quotePrefix="0" xfId="0">
      <alignment vertical="center"/>
    </xf>
    <xf numFmtId="0" fontId="20" fillId="11" borderId="8" applyAlignment="1" applyProtection="1" pivotButton="0" quotePrefix="0" xfId="7">
      <alignment horizontal="centerContinuous"/>
      <protection locked="0" hidden="0"/>
    </xf>
    <xf numFmtId="0" fontId="24" fillId="12" borderId="5" pivotButton="0" quotePrefix="0" xfId="7"/>
    <xf numFmtId="0" fontId="24" fillId="12" borderId="6" applyAlignment="1" pivotButton="0" quotePrefix="0" xfId="7">
      <alignment horizontal="centerContinuous"/>
    </xf>
    <xf numFmtId="0" fontId="24" fillId="12" borderId="0" applyAlignment="1" pivotButton="0" quotePrefix="0" xfId="7">
      <alignment horizontal="centerContinuous"/>
    </xf>
    <xf numFmtId="0" fontId="24" fillId="12" borderId="7" applyAlignment="1" pivotButton="0" quotePrefix="0" xfId="7">
      <alignment horizontal="centerContinuous"/>
    </xf>
    <xf numFmtId="0" fontId="24" fillId="12" borderId="5" applyAlignment="1" pivotButton="0" quotePrefix="0" xfId="7">
      <alignment horizontal="centerContinuous"/>
    </xf>
    <xf numFmtId="0" fontId="24" fillId="12" borderId="5" applyAlignment="1" pivotButton="0" quotePrefix="0" xfId="7">
      <alignment horizontal="center"/>
    </xf>
    <xf numFmtId="0" fontId="18" fillId="13" borderId="8" applyAlignment="1" pivotButton="0" quotePrefix="0" xfId="7">
      <alignment horizontal="center"/>
    </xf>
    <xf numFmtId="0" fontId="18" fillId="0" borderId="8" applyAlignment="1" applyProtection="1" pivotButton="0" quotePrefix="0" xfId="7">
      <alignment horizontal="center"/>
      <protection locked="0" hidden="0"/>
    </xf>
    <xf numFmtId="16" fontId="23" fillId="14" borderId="8" applyAlignment="1" pivotButton="0" quotePrefix="0" xfId="7">
      <alignment horizontal="center"/>
    </xf>
    <xf numFmtId="166" fontId="19" fillId="15" borderId="8" applyAlignment="1" pivotButton="0" quotePrefix="0" xfId="7">
      <alignment horizontal="center"/>
    </xf>
    <xf numFmtId="20" fontId="17" fillId="16" borderId="8" applyAlignment="1" pivotButton="0" quotePrefix="0" xfId="7">
      <alignment horizontal="center"/>
    </xf>
    <xf numFmtId="0" fontId="24" fillId="12" borderId="6" pivotButton="0" quotePrefix="0" xfId="7"/>
    <xf numFmtId="0" fontId="20" fillId="17" borderId="8" pivotButton="0" quotePrefix="0" xfId="7"/>
    <xf numFmtId="0" fontId="25" fillId="18" borderId="8" pivotButton="0" quotePrefix="0" xfId="7"/>
    <xf numFmtId="0" fontId="27" fillId="19" borderId="4" pivotButton="0" quotePrefix="0" xfId="7"/>
    <xf numFmtId="0" fontId="27" fillId="19" borderId="1" pivotButton="0" quotePrefix="0" xfId="7"/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  <xf numFmtId="0" fontId="27" fillId="19" borderId="4" pivotButton="0" quotePrefix="0" xfId="0"/>
    <xf numFmtId="0" fontId="27" fillId="19" borderId="1" pivotButton="0" quotePrefix="0" xfId="0"/>
    <xf numFmtId="0" fontId="24" fillId="12" borderId="5" pivotButton="0" quotePrefix="0" xfId="0"/>
    <xf numFmtId="0" fontId="24" fillId="12" borderId="6" pivotButton="0" quotePrefix="0" xfId="0"/>
    <xf numFmtId="0" fontId="24" fillId="12" borderId="6" applyAlignment="1" pivotButton="0" quotePrefix="0" xfId="0">
      <alignment horizontal="centerContinuous"/>
    </xf>
    <xf numFmtId="0" fontId="30" fillId="12" borderId="0" applyAlignment="1" pivotButton="0" quotePrefix="0" xfId="0">
      <alignment horizontal="center" vertical="center"/>
    </xf>
    <xf numFmtId="0" fontId="24" fillId="12" borderId="0" applyAlignment="1" pivotButton="0" quotePrefix="0" xfId="0">
      <alignment horizontal="centerContinuous"/>
    </xf>
    <xf numFmtId="0" fontId="24" fillId="12" borderId="7" applyAlignment="1" pivotButton="0" quotePrefix="0" xfId="0">
      <alignment horizontal="centerContinuous"/>
    </xf>
    <xf numFmtId="0" fontId="24" fillId="12" borderId="5" applyAlignment="1" pivotButton="0" quotePrefix="0" xfId="0">
      <alignment horizontal="centerContinuous"/>
    </xf>
    <xf numFmtId="0" fontId="24" fillId="12" borderId="5" applyAlignment="1" pivotButton="0" quotePrefix="0" xfId="0">
      <alignment horizontal="center"/>
    </xf>
    <xf numFmtId="0" fontId="18" fillId="13" borderId="8" applyAlignment="1" pivotButton="0" quotePrefix="0" xfId="0">
      <alignment horizontal="center"/>
    </xf>
    <xf numFmtId="0" fontId="20" fillId="17" borderId="8" pivotButton="0" quotePrefix="0" xfId="0"/>
    <xf numFmtId="0" fontId="31" fillId="0" borderId="8" applyAlignment="1" applyProtection="1" pivotButton="0" quotePrefix="0" xfId="0">
      <alignment horizontal="center" vertical="center"/>
      <protection locked="0" hidden="0"/>
    </xf>
    <xf numFmtId="0" fontId="20" fillId="11" borderId="8" applyAlignment="1" applyProtection="1" pivotButton="0" quotePrefix="0" xfId="0">
      <alignment horizontal="centerContinuous"/>
      <protection locked="0" hidden="0"/>
    </xf>
    <xf numFmtId="16" fontId="23" fillId="14" borderId="8" applyAlignment="1" pivotButton="0" quotePrefix="0" xfId="0">
      <alignment horizontal="center"/>
    </xf>
    <xf numFmtId="166" fontId="19" fillId="15" borderId="8" applyAlignment="1" pivotButton="0" quotePrefix="0" xfId="0">
      <alignment horizontal="center"/>
    </xf>
    <xf numFmtId="20" fontId="0" fillId="16" borderId="8" applyAlignment="1" pivotButton="0" quotePrefix="0" xfId="0">
      <alignment horizontal="center"/>
    </xf>
    <xf numFmtId="0" fontId="25" fillId="18" borderId="8" pivotButton="0" quotePrefix="0" xfId="0"/>
    <xf numFmtId="0" fontId="32" fillId="0" borderId="8" applyAlignment="1" applyProtection="1" pivotButton="0" quotePrefix="0" xfId="0">
      <alignment horizontal="center" vertical="center"/>
      <protection locked="0" hidden="0"/>
    </xf>
    <xf numFmtId="0" fontId="18" fillId="0" borderId="0" pivotButton="0" quotePrefix="0" xfId="0"/>
    <xf numFmtId="0" fontId="8" fillId="0" borderId="0" pivotButton="0" quotePrefix="0" xfId="0"/>
    <xf numFmtId="0" fontId="2" fillId="0" borderId="0" applyAlignment="1" applyProtection="1" pivotButton="0" quotePrefix="0" xfId="0">
      <alignment horizontal="center"/>
      <protection locked="0" hidden="0"/>
    </xf>
    <xf numFmtId="0" fontId="8" fillId="0" borderId="0" applyAlignment="1" applyProtection="1" pivotButton="0" quotePrefix="0" xfId="0">
      <alignment horizontal="center"/>
      <protection locked="0" hidden="0"/>
    </xf>
    <xf numFmtId="0" fontId="11" fillId="0" borderId="0" pivotButton="0" quotePrefix="0" xfId="0"/>
    <xf numFmtId="0" fontId="7" fillId="5" borderId="5" applyAlignment="1" pivotButton="0" quotePrefix="0" xfId="0">
      <alignment horizontal="center"/>
    </xf>
    <xf numFmtId="0" fontId="4" fillId="2" borderId="1" pivotButton="0" quotePrefix="0" xfId="0"/>
    <xf numFmtId="0" fontId="5" fillId="0" borderId="2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left"/>
    </xf>
    <xf numFmtId="0" fontId="5" fillId="4" borderId="1" applyAlignment="1" applyProtection="1" pivotButton="0" quotePrefix="0" xfId="0">
      <alignment horizontal="right"/>
      <protection locked="0" hidden="0"/>
    </xf>
    <xf numFmtId="0" fontId="6" fillId="0" borderId="1" applyProtection="1" pivotButton="0" quotePrefix="0" xfId="0">
      <protection locked="0" hidden="0"/>
    </xf>
    <xf numFmtId="0" fontId="12" fillId="0" borderId="1" applyProtection="1" pivotButton="0" quotePrefix="0" xfId="1">
      <protection locked="0" hidden="0"/>
    </xf>
    <xf numFmtId="0" fontId="6" fillId="0" borderId="1" pivotButton="0" quotePrefix="0" xfId="0"/>
    <xf numFmtId="0" fontId="29" fillId="0" borderId="2" applyAlignment="1" pivotButton="0" quotePrefix="0" xfId="7">
      <alignment horizontal="center"/>
    </xf>
    <xf numFmtId="0" fontId="17" fillId="0" borderId="9" pivotButton="0" quotePrefix="0" xfId="7"/>
    <xf numFmtId="0" fontId="28" fillId="0" borderId="1" applyProtection="1" pivotButton="0" quotePrefix="0" xfId="7">
      <protection locked="0" hidden="0"/>
    </xf>
    <xf numFmtId="0" fontId="17" fillId="0" borderId="9" applyProtection="1" pivotButton="0" quotePrefix="0" xfId="7">
      <protection locked="0" hidden="0"/>
    </xf>
    <xf numFmtId="0" fontId="17" fillId="0" borderId="3" applyProtection="1" pivotButton="0" quotePrefix="0" xfId="7">
      <protection locked="0" hidden="0"/>
    </xf>
    <xf numFmtId="0" fontId="27" fillId="0" borderId="1" applyAlignment="1" pivotButton="0" quotePrefix="0" xfId="7">
      <alignment horizontal="left"/>
    </xf>
    <xf numFmtId="0" fontId="17" fillId="0" borderId="3" pivotButton="0" quotePrefix="0" xfId="7"/>
    <xf numFmtId="0" fontId="26" fillId="13" borderId="1" pivotButton="0" quotePrefix="0" xfId="7"/>
    <xf numFmtId="0" fontId="29" fillId="19" borderId="1" applyAlignment="1" applyProtection="1" pivotButton="0" quotePrefix="0" xfId="7">
      <alignment horizontal="right"/>
      <protection locked="0" hidden="0"/>
    </xf>
    <xf numFmtId="0" fontId="27" fillId="0" borderId="1" pivotButton="0" quotePrefix="0" xfId="7"/>
    <xf numFmtId="0" fontId="26" fillId="13" borderId="1" pivotButton="0" quotePrefix="0" xfId="0"/>
    <xf numFmtId="0" fontId="0" fillId="0" borderId="9" pivotButton="0" quotePrefix="0" xfId="0"/>
    <xf numFmtId="0" fontId="0" fillId="0" borderId="3" pivotButton="0" quotePrefix="0" xfId="0"/>
    <xf numFmtId="0" fontId="29" fillId="0" borderId="2" applyAlignment="1" pivotButton="0" quotePrefix="0" xfId="0">
      <alignment horizontal="center"/>
    </xf>
    <xf numFmtId="0" fontId="27" fillId="0" borderId="1" pivotButton="0" quotePrefix="0" xfId="0"/>
    <xf numFmtId="0" fontId="27" fillId="0" borderId="1" applyAlignment="1" pivotButton="0" quotePrefix="0" xfId="0">
      <alignment horizontal="left"/>
    </xf>
    <xf numFmtId="0" fontId="29" fillId="19" borderId="1" applyAlignment="1" applyProtection="1" pivotButton="0" quotePrefix="0" xfId="0">
      <alignment horizontal="right"/>
      <protection locked="0" hidden="0"/>
    </xf>
    <xf numFmtId="0" fontId="0" fillId="0" borderId="9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28" fillId="0" borderId="1" applyProtection="1" pivotButton="0" quotePrefix="0" xfId="0">
      <protection locked="0" hidden="0"/>
    </xf>
    <xf numFmtId="0" fontId="27" fillId="0" borderId="2" applyAlignment="1" pivotButton="0" quotePrefix="0" xfId="7">
      <alignment horizontal="left"/>
    </xf>
    <xf numFmtId="0" fontId="33" fillId="0" borderId="3" applyAlignment="1" pivotButton="0" quotePrefix="0" xfId="7">
      <alignment horizontal="left"/>
    </xf>
    <xf numFmtId="0" fontId="28" fillId="0" borderId="2" applyProtection="1" pivotButton="0" quotePrefix="0" xfId="7">
      <protection locked="0" hidden="0"/>
    </xf>
    <xf numFmtId="0" fontId="27" fillId="0" borderId="2" pivotButton="0" quotePrefix="0" xfId="7"/>
    <xf numFmtId="0" fontId="29" fillId="19" borderId="2" applyAlignment="1" applyProtection="1" pivotButton="0" quotePrefix="0" xfId="7">
      <alignment horizontal="right"/>
      <protection locked="0" hidden="0"/>
    </xf>
    <xf numFmtId="0" fontId="34" fillId="0" borderId="9" applyAlignment="1" pivotButton="0" quotePrefix="0" xfId="7">
      <alignment horizontal="right"/>
    </xf>
    <xf numFmtId="0" fontId="34" fillId="0" borderId="3" applyAlignment="1" pivotButton="0" quotePrefix="0" xfId="7">
      <alignment horizontal="right"/>
    </xf>
    <xf numFmtId="0" fontId="26" fillId="13" borderId="2" pivotButton="0" quotePrefix="0" xfId="7"/>
    <xf numFmtId="0" fontId="17" fillId="0" borderId="9" applyAlignment="1" pivotButton="0" quotePrefix="0" xfId="7">
      <alignment horizontal="center"/>
    </xf>
    <xf numFmtId="0" fontId="0" fillId="0" borderId="12" pivotButton="0" quotePrefix="0" xfId="0"/>
    <xf numFmtId="0" fontId="0" fillId="0" borderId="12" applyProtection="1" pivotButton="0" quotePrefix="0" xfId="0">
      <protection locked="0" hidden="0"/>
    </xf>
    <xf numFmtId="0" fontId="0" fillId="0" borderId="7" pivotButton="0" quotePrefix="0" xfId="0"/>
    <xf numFmtId="20" fontId="0" fillId="10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</cellXfs>
  <cellStyles count="12">
    <cellStyle name="Normal" xfId="0" builtinId="0"/>
    <cellStyle name="Hiperlink" xfId="1" builtinId="8"/>
    <cellStyle name="Hiperlink 2" xfId="2"/>
    <cellStyle name="Hiperlink 2 2" xfId="3"/>
    <cellStyle name="Normal 2" xfId="4"/>
    <cellStyle name="Normal 2 2" xfId="5"/>
    <cellStyle name="Normal 3" xfId="6"/>
    <cellStyle name="Normal 4" xfId="7"/>
    <cellStyle name="Hiperlink 2 3" xfId="8"/>
    <cellStyle name="Normal 2 3" xfId="9"/>
    <cellStyle name="Normal 3 2" xfId="10"/>
    <cellStyle name="Hiperlink 2 4" xfId="11"/>
  </cellStyles>
  <tableStyles count="0" defaultTableStyle="TableStyleMedium2" defaultPivotStyle="PivotStyleLight16"/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E7"/>
      <rgbColor rgb="FF808080"/>
      <rgbColor rgb="FF8FAADC"/>
      <rgbColor rgb="FF993366"/>
      <rgbColor rgb="FFFFFFCC"/>
      <rgbColor rgb="FFDAE3F3"/>
      <rgbColor rgb="FF660066"/>
      <rgbColor rgb="FFFF8080"/>
      <rgbColor rgb="FF0563C1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24242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Tema do Office">
  <a:themeElements>
    <a:clrScheme name="Escritório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8"/>
  <sheetViews>
    <sheetView showGridLines="0" zoomScaleNormal="100" workbookViewId="0">
      <pane ySplit="4" topLeftCell="A54" activePane="bottomLeft" state="frozen"/>
      <selection pane="bottomLeft" activeCell="F55" sqref="F55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5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0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2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1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1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4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1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4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6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5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4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0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2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5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0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3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2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0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3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0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4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5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0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0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5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3</v>
      </c>
      <c r="E71" s="14" t="inlineStr">
        <is>
          <t>X</t>
        </is>
      </c>
      <c r="F71" s="13" t="n">
        <v>3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3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0</v>
      </c>
      <c r="E76" s="14" t="inlineStr">
        <is>
          <t>X</t>
        </is>
      </c>
      <c r="F76" s="13" t="n">
        <v>0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2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1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1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3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0</v>
      </c>
      <c r="E97" t="inlineStr">
        <is>
          <t>X</t>
        </is>
      </c>
      <c r="F97" t="n">
        <v>1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4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2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0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3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0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1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4</v>
      </c>
      <c r="E107" t="inlineStr">
        <is>
          <t>X</t>
        </is>
      </c>
      <c r="F107" t="n">
        <v>6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1</v>
      </c>
      <c r="E108" t="inlineStr">
        <is>
          <t>X</t>
        </is>
      </c>
      <c r="F108" t="n">
        <v>0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7875" right="0.7875" top="0.9840277777777779" bottom="0.9840277777777779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3" zoomScaleNormal="100" workbookViewId="0">
      <selection activeCell="K10" sqref="K1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/>
      <c r="E9" s="14" t="inlineStr">
        <is>
          <t>X</t>
        </is>
      </c>
      <c r="F9" s="13" t="n"/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1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1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0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2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1</v>
      </c>
      <c r="E108" t="inlineStr">
        <is>
          <t>X</t>
        </is>
      </c>
      <c r="F108" t="n">
        <v>2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08"/>
  <sheetViews>
    <sheetView showGridLines="0" tabSelected="1" topLeftCell="A54" zoomScaleNormal="100" workbookViewId="0">
      <selection activeCell="J67" sqref="J67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4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0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  <c r="N55" s="72" t="n"/>
      <c r="O55" s="73" t="n"/>
      <c r="P55" s="74" t="n"/>
      <c r="Q55" s="73" t="n"/>
      <c r="R55" s="75" t="n"/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  <c r="N56" s="72" t="n"/>
      <c r="O56" s="73" t="n"/>
      <c r="P56" s="74" t="n"/>
      <c r="Q56" s="73" t="n"/>
      <c r="R56" s="72" t="n"/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  <c r="N57" s="72" t="n"/>
      <c r="O57" s="73" t="n"/>
      <c r="P57" s="74" t="n"/>
      <c r="Q57" s="73" t="n"/>
      <c r="R57" s="72" t="n"/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  <c r="N58" s="72" t="n"/>
      <c r="O58" s="73" t="n"/>
      <c r="P58" s="74" t="n"/>
      <c r="Q58" s="73" t="n"/>
      <c r="R58" s="72" t="n"/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2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1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0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4" sqref="C54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0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2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0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4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3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2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3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2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6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4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0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4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3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4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3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2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3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3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1" sqref="C51"/>
    </sheetView>
  </sheetViews>
  <sheetFormatPr baseColWidth="8" defaultColWidth="8.570312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11.140625" customWidth="1" min="10" max="10"/>
  </cols>
  <sheetData>
    <row r="1" ht="21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5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1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0" zoomScaleNormal="100" workbookViewId="0">
      <selection activeCell="D50" sqref="D5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3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3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4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5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0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2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2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2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2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4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4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2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2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1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2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3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19" t="inlineStr">
        <is>
          <t>Nome:</t>
        </is>
      </c>
      <c r="B2" s="8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20" t="inlineStr">
        <is>
          <t>México</t>
        </is>
      </c>
      <c r="D5" s="21" t="n">
        <v>2</v>
      </c>
      <c r="E5" s="22" t="inlineStr">
        <is>
          <t>X</t>
        </is>
      </c>
      <c r="F5" s="21" t="n">
        <v>0</v>
      </c>
      <c r="G5" s="20" t="inlineStr">
        <is>
          <t>África do Sul</t>
        </is>
      </c>
      <c r="H5" s="23" t="n">
        <v>46184</v>
      </c>
      <c r="I5" s="24" t="n">
        <v>46184</v>
      </c>
      <c r="J5" s="11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20" t="inlineStr">
        <is>
          <t>Coreia do Sul</t>
        </is>
      </c>
      <c r="D6" s="21" t="n">
        <v>2</v>
      </c>
      <c r="E6" s="22" t="inlineStr">
        <is>
          <t>X</t>
        </is>
      </c>
      <c r="F6" s="21" t="n">
        <v>1</v>
      </c>
      <c r="G6" s="20" t="inlineStr">
        <is>
          <t>Tchéquia</t>
        </is>
      </c>
      <c r="H6" s="23" t="n">
        <v>46184</v>
      </c>
      <c r="I6" s="24" t="n">
        <v>46184</v>
      </c>
      <c r="J6" s="11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20" t="inlineStr">
        <is>
          <t>Canadá</t>
        </is>
      </c>
      <c r="D7" s="21" t="n"/>
      <c r="E7" s="22" t="inlineStr">
        <is>
          <t>X</t>
        </is>
      </c>
      <c r="F7" s="21" t="n"/>
      <c r="G7" s="20" t="inlineStr">
        <is>
          <t>Bósnia</t>
        </is>
      </c>
      <c r="H7" s="23" t="n">
        <v>46185</v>
      </c>
      <c r="I7" s="24" t="n">
        <v>46185</v>
      </c>
      <c r="J7" s="11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20" t="inlineStr">
        <is>
          <t>EUA</t>
        </is>
      </c>
      <c r="D8" s="21" t="n"/>
      <c r="E8" s="22" t="inlineStr">
        <is>
          <t>X</t>
        </is>
      </c>
      <c r="F8" s="21" t="n"/>
      <c r="G8" s="20" t="inlineStr">
        <is>
          <t>Paraguai</t>
        </is>
      </c>
      <c r="H8" s="23" t="n">
        <v>46185</v>
      </c>
      <c r="I8" s="24" t="n">
        <v>46185</v>
      </c>
      <c r="J8" s="11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3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3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0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1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0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0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2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3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1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0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0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3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3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3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1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4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2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1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3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2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1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0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2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2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1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2</v>
      </c>
      <c r="E51" s="14" t="inlineStr">
        <is>
          <t>X</t>
        </is>
      </c>
      <c r="F51" s="13" t="n">
        <v>0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2</v>
      </c>
      <c r="E55" s="14" t="inlineStr">
        <is>
          <t>X</t>
        </is>
      </c>
      <c r="F55" s="13" t="n">
        <v>1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1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2</v>
      </c>
      <c r="E57" s="14" t="inlineStr">
        <is>
          <t>X</t>
        </is>
      </c>
      <c r="F57" s="13" t="n">
        <v>0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2</v>
      </c>
      <c r="E63" s="14" t="inlineStr">
        <is>
          <t>X</t>
        </is>
      </c>
      <c r="F63" s="13" t="n">
        <v>0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2</v>
      </c>
      <c r="E65" s="14" t="inlineStr">
        <is>
          <t>X</t>
        </is>
      </c>
      <c r="F65" s="13" t="n">
        <v>1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1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0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2</v>
      </c>
      <c r="E73" s="14" t="inlineStr">
        <is>
          <t>X</t>
        </is>
      </c>
      <c r="F73" s="13" t="n">
        <v>1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2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3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0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5" zoomScaleNormal="100" workbookViewId="0">
      <selection activeCell="C55" sqref="C55:G58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0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4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0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2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2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2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1</v>
      </c>
      <c r="E108" t="inlineStr">
        <is>
          <t>X</t>
        </is>
      </c>
      <c r="F108" t="n">
        <v>2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workbookViewId="0">
      <selection activeCell="F28" sqref="F28"/>
    </sheetView>
  </sheetViews>
  <sheetFormatPr baseColWidth="8" defaultRowHeight="12.75"/>
  <cols>
    <col width="15.85546875" bestFit="1" customWidth="1" min="3" max="3"/>
    <col width="15.85546875" bestFit="1" customWidth="1" min="7" max="7"/>
  </cols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1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0</v>
      </c>
      <c r="E22" s="33" t="inlineStr">
        <is>
          <t>X</t>
        </is>
      </c>
      <c r="F22" s="41" t="n">
        <v>2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2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0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2</v>
      </c>
      <c r="E27" s="33" t="inlineStr">
        <is>
          <t>X</t>
        </is>
      </c>
      <c r="F27" s="41" t="n">
        <v>1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0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2</v>
      </c>
      <c r="E29" s="33" t="inlineStr">
        <is>
          <t>X</t>
        </is>
      </c>
      <c r="F29" s="41" t="n">
        <v>0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2</v>
      </c>
      <c r="E30" s="33" t="inlineStr">
        <is>
          <t>X</t>
        </is>
      </c>
      <c r="F30" s="41" t="n">
        <v>0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1</v>
      </c>
      <c r="E32" s="33" t="inlineStr">
        <is>
          <t>X</t>
        </is>
      </c>
      <c r="F32" s="41" t="n">
        <v>2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2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1</v>
      </c>
      <c r="E34" s="33" t="inlineStr">
        <is>
          <t>X</t>
        </is>
      </c>
      <c r="F34" s="41" t="n">
        <v>0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2</v>
      </c>
      <c r="E35" s="33" t="inlineStr">
        <is>
          <t>X</t>
        </is>
      </c>
      <c r="F35" s="41" t="n">
        <v>0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1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2</v>
      </c>
      <c r="E37" s="33" t="inlineStr">
        <is>
          <t>X</t>
        </is>
      </c>
      <c r="F37" s="41" t="n">
        <v>1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2</v>
      </c>
      <c r="E38" s="33" t="inlineStr">
        <is>
          <t>X</t>
        </is>
      </c>
      <c r="F38" s="41" t="n">
        <v>1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0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0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2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2</v>
      </c>
      <c r="E42" s="33" t="inlineStr">
        <is>
          <t>X</t>
        </is>
      </c>
      <c r="F42" s="41" t="n">
        <v>1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2</v>
      </c>
      <c r="E43" s="33" t="inlineStr">
        <is>
          <t>X</t>
        </is>
      </c>
      <c r="F43" s="41" t="n">
        <v>0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3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1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2</v>
      </c>
      <c r="E47" s="33" t="inlineStr">
        <is>
          <t>X</t>
        </is>
      </c>
      <c r="F47" s="41" t="n">
        <v>1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2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0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3</v>
      </c>
      <c r="E50" s="33" t="inlineStr">
        <is>
          <t>X</t>
        </is>
      </c>
      <c r="F50" s="41" t="n">
        <v>0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1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2</v>
      </c>
      <c r="E52" s="33" t="inlineStr">
        <is>
          <t>X</t>
        </is>
      </c>
      <c r="F52" s="41" t="n">
        <v>0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1</v>
      </c>
      <c r="E53" s="33" t="inlineStr">
        <is>
          <t>X</t>
        </is>
      </c>
      <c r="F53" s="41" t="n">
        <v>1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1</v>
      </c>
      <c r="E54" s="33" t="inlineStr">
        <is>
          <t>X</t>
        </is>
      </c>
      <c r="F54" s="41" t="n">
        <v>1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1</v>
      </c>
      <c r="E55" s="33" t="inlineStr">
        <is>
          <t>X</t>
        </is>
      </c>
      <c r="F55" s="41" t="n">
        <v>1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0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1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1</v>
      </c>
      <c r="E58" s="33" t="inlineStr">
        <is>
          <t>X</t>
        </is>
      </c>
      <c r="F58" s="41" t="n">
        <v>2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1</v>
      </c>
      <c r="E59" s="33" t="inlineStr">
        <is>
          <t>X</t>
        </is>
      </c>
      <c r="F59" s="41" t="n">
        <v>2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0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1</v>
      </c>
      <c r="E62" s="33" t="inlineStr">
        <is>
          <t>X</t>
        </is>
      </c>
      <c r="F62" s="41" t="n">
        <v>1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0</v>
      </c>
      <c r="E63" s="33" t="inlineStr">
        <is>
          <t>X</t>
        </is>
      </c>
      <c r="F63" s="41" t="n">
        <v>2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2</v>
      </c>
      <c r="E64" s="33" t="inlineStr">
        <is>
          <t>X</t>
        </is>
      </c>
      <c r="F64" s="41" t="n">
        <v>1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1</v>
      </c>
      <c r="E65" s="33" t="inlineStr">
        <is>
          <t>X</t>
        </is>
      </c>
      <c r="F65" s="41" t="n">
        <v>2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2</v>
      </c>
      <c r="E66" s="33" t="inlineStr">
        <is>
          <t>X</t>
        </is>
      </c>
      <c r="F66" s="41" t="n">
        <v>0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2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1</v>
      </c>
      <c r="E68" s="33" t="inlineStr">
        <is>
          <t>X</t>
        </is>
      </c>
      <c r="F68" s="41" t="n">
        <v>1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1</v>
      </c>
      <c r="E69" s="33" t="inlineStr">
        <is>
          <t>X</t>
        </is>
      </c>
      <c r="F69" s="41" t="n">
        <v>1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1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1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0</v>
      </c>
      <c r="E72" s="33" t="inlineStr">
        <is>
          <t>X</t>
        </is>
      </c>
      <c r="F72" s="41" t="n">
        <v>2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0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2</v>
      </c>
      <c r="E74" s="33" t="inlineStr">
        <is>
          <t>X</t>
        </is>
      </c>
      <c r="F74" s="41" t="n">
        <v>0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1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1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4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3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3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1" workbookViewId="0">
      <selection activeCell="K14" sqref="K14"/>
    </sheetView>
  </sheetViews>
  <sheetFormatPr baseColWidth="8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71" min="7" max="7"/>
    <col width="8.5703125" customWidth="1" min="8" max="9"/>
    <col width="11.140625" customWidth="1" min="10" max="10"/>
  </cols>
  <sheetData>
    <row r="1" ht="21.6" customHeight="1" thickBot="1">
      <c r="A1" s="95" t="inlineStr">
        <is>
          <t>COPA 2026 - TABELA DE APOSTAS</t>
        </is>
      </c>
      <c r="B1" s="114" t="n"/>
      <c r="C1" s="114" t="n"/>
      <c r="D1" s="114" t="n"/>
      <c r="E1" s="97" t="n"/>
      <c r="F1" s="98" t="inlineStr">
        <is>
          <t xml:space="preserve">Pagamento = Pix </t>
        </is>
      </c>
      <c r="G1" s="114" t="n"/>
      <c r="H1" s="114" t="n"/>
      <c r="I1" s="114" t="n"/>
      <c r="J1" s="120" t="n">
        <v>50</v>
      </c>
      <c r="K1" t="inlineStr">
        <is>
          <t>pago</t>
        </is>
      </c>
    </row>
    <row r="2" ht="20.45" customHeight="1" thickBot="1">
      <c r="A2" s="52" t="inlineStr">
        <is>
          <t>Nome:</t>
        </is>
      </c>
      <c r="B2" s="9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45" customHeight="1" thickBot="1">
      <c r="A3" s="53" t="inlineStr">
        <is>
          <t>Celular:</t>
        </is>
      </c>
      <c r="B3" s="100" t="n"/>
      <c r="C3" s="97" t="n"/>
      <c r="D3" s="101" t="inlineStr">
        <is>
          <t xml:space="preserve">e-mail: </t>
        </is>
      </c>
      <c r="E3" s="115" t="n"/>
      <c r="F3" s="103" t="n"/>
      <c r="G3" s="104" t="n"/>
      <c r="H3" s="115" t="n"/>
      <c r="I3" s="115" t="n"/>
      <c r="J3" s="103" t="n"/>
    </row>
    <row r="4" ht="13.5" customHeight="1">
      <c r="A4" s="54" t="inlineStr">
        <is>
          <t>JOGOS</t>
        </is>
      </c>
      <c r="B4" s="55" t="inlineStr">
        <is>
          <t>GRUPO</t>
        </is>
      </c>
      <c r="C4" s="56" t="n"/>
      <c r="D4" s="57" t="inlineStr">
        <is>
          <t>GOL A</t>
        </is>
      </c>
      <c r="E4" s="58" t="n"/>
      <c r="F4" s="57" t="inlineStr">
        <is>
          <t>GOL B</t>
        </is>
      </c>
      <c r="G4" s="59" t="n"/>
      <c r="H4" s="60" t="inlineStr">
        <is>
          <t>DIA</t>
        </is>
      </c>
      <c r="I4" s="59" t="n"/>
      <c r="J4" s="61" t="inlineStr">
        <is>
          <t>HORA</t>
        </is>
      </c>
    </row>
    <row r="5" ht="15" customHeight="1">
      <c r="A5" s="62" t="n">
        <v>1</v>
      </c>
      <c r="B5" s="62" t="inlineStr">
        <is>
          <t>A</t>
        </is>
      </c>
      <c r="C5" s="63" t="inlineStr">
        <is>
          <t>México</t>
        </is>
      </c>
      <c r="D5" s="64" t="n"/>
      <c r="E5" s="65" t="inlineStr">
        <is>
          <t>X</t>
        </is>
      </c>
      <c r="F5" s="64" t="n"/>
      <c r="G5" s="63" t="inlineStr">
        <is>
          <t>África do Sul</t>
        </is>
      </c>
      <c r="H5" s="66" t="n">
        <v>46184</v>
      </c>
      <c r="I5" s="67">
        <f>H5</f>
        <v/>
      </c>
      <c r="J5" s="6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62" t="n">
        <v>2</v>
      </c>
      <c r="B6" s="62" t="inlineStr">
        <is>
          <t>A</t>
        </is>
      </c>
      <c r="C6" s="63" t="inlineStr">
        <is>
          <t>Coreia do Sul</t>
        </is>
      </c>
      <c r="D6" s="64" t="n"/>
      <c r="E6" s="65" t="inlineStr">
        <is>
          <t>X</t>
        </is>
      </c>
      <c r="F6" s="64" t="n"/>
      <c r="G6" s="63" t="inlineStr">
        <is>
          <t>Tchéquia</t>
        </is>
      </c>
      <c r="H6" s="66" t="n">
        <v>46184</v>
      </c>
      <c r="I6" s="67">
        <f>H6</f>
        <v/>
      </c>
      <c r="J6" s="6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62" t="n">
        <v>3</v>
      </c>
      <c r="B7" s="62" t="inlineStr">
        <is>
          <t>B</t>
        </is>
      </c>
      <c r="C7" s="63" t="inlineStr">
        <is>
          <t>Canadá</t>
        </is>
      </c>
      <c r="D7" s="64" t="n"/>
      <c r="E7" s="65" t="inlineStr">
        <is>
          <t>X</t>
        </is>
      </c>
      <c r="F7" s="64" t="n"/>
      <c r="G7" s="63" t="inlineStr">
        <is>
          <t>Bósnia</t>
        </is>
      </c>
      <c r="H7" s="66" t="n">
        <v>46185</v>
      </c>
      <c r="I7" s="67">
        <f>H7</f>
        <v/>
      </c>
      <c r="J7" s="6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62" t="n">
        <v>4</v>
      </c>
      <c r="B8" s="62" t="inlineStr">
        <is>
          <t>D</t>
        </is>
      </c>
      <c r="C8" s="63" t="inlineStr">
        <is>
          <t>EUA</t>
        </is>
      </c>
      <c r="D8" s="64" t="n"/>
      <c r="E8" s="65" t="inlineStr">
        <is>
          <t>X</t>
        </is>
      </c>
      <c r="F8" s="64" t="n"/>
      <c r="G8" s="63" t="inlineStr">
        <is>
          <t>Paraguai</t>
        </is>
      </c>
      <c r="H8" s="66" t="n">
        <v>46185</v>
      </c>
      <c r="I8" s="67">
        <f>H8</f>
        <v/>
      </c>
      <c r="J8" s="6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62" t="n">
        <v>5</v>
      </c>
      <c r="B9" s="62" t="inlineStr">
        <is>
          <t>D</t>
        </is>
      </c>
      <c r="C9" s="63" t="inlineStr">
        <is>
          <t>Austrália</t>
        </is>
      </c>
      <c r="D9" s="64" t="n"/>
      <c r="E9" s="65" t="inlineStr">
        <is>
          <t>X</t>
        </is>
      </c>
      <c r="F9" s="64" t="n"/>
      <c r="G9" s="63" t="inlineStr">
        <is>
          <t>Turquia</t>
        </is>
      </c>
      <c r="H9" s="66" t="n">
        <v>46186</v>
      </c>
      <c r="I9" s="67">
        <f>H9</f>
        <v/>
      </c>
      <c r="J9" s="68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62" t="n">
        <v>6</v>
      </c>
      <c r="B10" s="62" t="inlineStr">
        <is>
          <t>B</t>
        </is>
      </c>
      <c r="C10" s="63" t="inlineStr">
        <is>
          <t>Catar</t>
        </is>
      </c>
      <c r="D10" s="64" t="n"/>
      <c r="E10" s="65" t="inlineStr">
        <is>
          <t>X</t>
        </is>
      </c>
      <c r="F10" s="64" t="n"/>
      <c r="G10" s="63" t="inlineStr">
        <is>
          <t>Suíça</t>
        </is>
      </c>
      <c r="H10" s="66" t="n">
        <v>46186</v>
      </c>
      <c r="I10" s="67">
        <f>H10</f>
        <v/>
      </c>
      <c r="J10" s="68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62" t="n">
        <v>7</v>
      </c>
      <c r="B11" s="62" t="inlineStr">
        <is>
          <t>C</t>
        </is>
      </c>
      <c r="C11" s="69" t="inlineStr">
        <is>
          <t>Brasil</t>
        </is>
      </c>
      <c r="D11" s="64" t="n"/>
      <c r="E11" s="65" t="inlineStr">
        <is>
          <t>X</t>
        </is>
      </c>
      <c r="F11" s="64" t="n"/>
      <c r="G11" s="63" t="inlineStr">
        <is>
          <t>Marrocos</t>
        </is>
      </c>
      <c r="H11" s="66" t="n">
        <v>46186</v>
      </c>
      <c r="I11" s="67">
        <f>H11</f>
        <v/>
      </c>
      <c r="J11" s="68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62" t="n">
        <v>8</v>
      </c>
      <c r="B12" s="62" t="inlineStr">
        <is>
          <t>C</t>
        </is>
      </c>
      <c r="C12" s="63" t="inlineStr">
        <is>
          <t>Haiti</t>
        </is>
      </c>
      <c r="D12" s="64" t="n"/>
      <c r="E12" s="65" t="inlineStr">
        <is>
          <t>X</t>
        </is>
      </c>
      <c r="F12" s="64" t="n"/>
      <c r="G12" s="63" t="inlineStr">
        <is>
          <t>Escócia</t>
        </is>
      </c>
      <c r="H12" s="66" t="n">
        <v>46186</v>
      </c>
      <c r="I12" s="67">
        <f>H12</f>
        <v/>
      </c>
      <c r="J12" s="68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62" t="n">
        <v>9</v>
      </c>
      <c r="B13" s="62" t="inlineStr">
        <is>
          <t>E</t>
        </is>
      </c>
      <c r="C13" s="63" t="inlineStr">
        <is>
          <t>Alemanha</t>
        </is>
      </c>
      <c r="D13" s="64" t="n"/>
      <c r="E13" s="65" t="inlineStr">
        <is>
          <t>X</t>
        </is>
      </c>
      <c r="F13" s="64" t="n"/>
      <c r="G13" s="63" t="inlineStr">
        <is>
          <t>Curaçau</t>
        </is>
      </c>
      <c r="H13" s="66" t="n">
        <v>46187</v>
      </c>
      <c r="I13" s="67">
        <f>H13</f>
        <v/>
      </c>
      <c r="J13" s="68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62" t="n">
        <v>10</v>
      </c>
      <c r="B14" s="62" t="inlineStr">
        <is>
          <t>F</t>
        </is>
      </c>
      <c r="C14" s="63" t="inlineStr">
        <is>
          <t>Holanda</t>
        </is>
      </c>
      <c r="D14" s="64" t="n"/>
      <c r="E14" s="65" t="inlineStr">
        <is>
          <t>X</t>
        </is>
      </c>
      <c r="F14" s="64" t="n"/>
      <c r="G14" s="63" t="inlineStr">
        <is>
          <t>Japão</t>
        </is>
      </c>
      <c r="H14" s="66" t="n">
        <v>46187</v>
      </c>
      <c r="I14" s="67">
        <f>H14</f>
        <v/>
      </c>
      <c r="J14" s="68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62" t="n">
        <v>11</v>
      </c>
      <c r="B15" s="62" t="inlineStr">
        <is>
          <t>E</t>
        </is>
      </c>
      <c r="C15" s="63" t="inlineStr">
        <is>
          <t>Costa do Marfim</t>
        </is>
      </c>
      <c r="D15" s="64" t="n"/>
      <c r="E15" s="65" t="inlineStr">
        <is>
          <t>X</t>
        </is>
      </c>
      <c r="F15" s="64" t="n"/>
      <c r="G15" s="63" t="inlineStr">
        <is>
          <t>Equador</t>
        </is>
      </c>
      <c r="H15" s="66" t="n">
        <v>46187</v>
      </c>
      <c r="I15" s="67">
        <f>H15</f>
        <v/>
      </c>
      <c r="J15" s="68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62" t="n">
        <v>12</v>
      </c>
      <c r="B16" s="62" t="inlineStr">
        <is>
          <t>F</t>
        </is>
      </c>
      <c r="C16" s="63" t="inlineStr">
        <is>
          <t>Suécia</t>
        </is>
      </c>
      <c r="D16" s="64" t="n"/>
      <c r="E16" s="65" t="inlineStr">
        <is>
          <t>X</t>
        </is>
      </c>
      <c r="F16" s="64" t="n"/>
      <c r="G16" s="63" t="inlineStr">
        <is>
          <t>Tunísia</t>
        </is>
      </c>
      <c r="H16" s="66" t="n">
        <v>46187</v>
      </c>
      <c r="I16" s="67">
        <f>H16</f>
        <v/>
      </c>
      <c r="J16" s="68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62" t="n">
        <v>13</v>
      </c>
      <c r="B17" s="62" t="inlineStr">
        <is>
          <t>H</t>
        </is>
      </c>
      <c r="C17" s="63" t="inlineStr">
        <is>
          <t>Espanha</t>
        </is>
      </c>
      <c r="D17" s="70" t="n"/>
      <c r="E17" s="65" t="inlineStr">
        <is>
          <t>X</t>
        </is>
      </c>
      <c r="F17" s="70" t="n"/>
      <c r="G17" s="63" t="inlineStr">
        <is>
          <t>Cabo Verde</t>
        </is>
      </c>
      <c r="H17" s="66" t="n">
        <v>46188</v>
      </c>
      <c r="I17" s="67">
        <f>H17</f>
        <v/>
      </c>
      <c r="J17" s="68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62" t="n">
        <v>14</v>
      </c>
      <c r="B18" s="62" t="inlineStr">
        <is>
          <t>G</t>
        </is>
      </c>
      <c r="C18" s="63" t="inlineStr">
        <is>
          <t>Bélgica</t>
        </is>
      </c>
      <c r="D18" s="64" t="n"/>
      <c r="E18" s="65" t="inlineStr">
        <is>
          <t>X</t>
        </is>
      </c>
      <c r="F18" s="64" t="n"/>
      <c r="G18" s="63" t="inlineStr">
        <is>
          <t>Egito</t>
        </is>
      </c>
      <c r="H18" s="66" t="n">
        <v>46188</v>
      </c>
      <c r="I18" s="67">
        <f>H18</f>
        <v/>
      </c>
      <c r="J18" s="68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62" t="n">
        <v>15</v>
      </c>
      <c r="B19" s="62" t="inlineStr">
        <is>
          <t>H</t>
        </is>
      </c>
      <c r="C19" s="63" t="inlineStr">
        <is>
          <t>Arábia Saudita</t>
        </is>
      </c>
      <c r="D19" s="70" t="n"/>
      <c r="E19" s="65" t="inlineStr">
        <is>
          <t>X</t>
        </is>
      </c>
      <c r="F19" s="70" t="n"/>
      <c r="G19" s="63" t="inlineStr">
        <is>
          <t>Uruguai</t>
        </is>
      </c>
      <c r="H19" s="66" t="n">
        <v>46188</v>
      </c>
      <c r="I19" s="67">
        <f>H19</f>
        <v/>
      </c>
      <c r="J19" s="68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62" t="n">
        <v>16</v>
      </c>
      <c r="B20" s="62" t="inlineStr">
        <is>
          <t>G</t>
        </is>
      </c>
      <c r="C20" s="63" t="inlineStr">
        <is>
          <t>Irã</t>
        </is>
      </c>
      <c r="D20" s="70" t="n"/>
      <c r="E20" s="65" t="inlineStr">
        <is>
          <t>X</t>
        </is>
      </c>
      <c r="F20" s="70" t="n"/>
      <c r="G20" s="63" t="inlineStr">
        <is>
          <t>Nova Zelândia</t>
        </is>
      </c>
      <c r="H20" s="66" t="n">
        <v>46188</v>
      </c>
      <c r="I20" s="67">
        <f>H20</f>
        <v/>
      </c>
      <c r="J20" s="68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62" t="n">
        <v>17</v>
      </c>
      <c r="B21" s="62" t="inlineStr">
        <is>
          <t>I</t>
        </is>
      </c>
      <c r="C21" s="63" t="inlineStr">
        <is>
          <t>França</t>
        </is>
      </c>
      <c r="D21" s="70" t="n">
        <v>2</v>
      </c>
      <c r="E21" s="65" t="inlineStr">
        <is>
          <t>X</t>
        </is>
      </c>
      <c r="F21" s="70" t="n">
        <v>1</v>
      </c>
      <c r="G21" s="63" t="inlineStr">
        <is>
          <t>Senegal</t>
        </is>
      </c>
      <c r="H21" s="66" t="n">
        <v>46189</v>
      </c>
      <c r="I21" s="67">
        <f>H21</f>
        <v/>
      </c>
      <c r="J21" s="68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62" t="n">
        <v>18</v>
      </c>
      <c r="B22" s="62" t="inlineStr">
        <is>
          <t>I</t>
        </is>
      </c>
      <c r="C22" s="63" t="inlineStr">
        <is>
          <t>Iraque</t>
        </is>
      </c>
      <c r="D22" s="70" t="n">
        <v>3</v>
      </c>
      <c r="E22" s="65" t="inlineStr">
        <is>
          <t>X</t>
        </is>
      </c>
      <c r="F22" s="70" t="n">
        <v>2</v>
      </c>
      <c r="G22" s="63" t="inlineStr">
        <is>
          <t>Noruega</t>
        </is>
      </c>
      <c r="H22" s="66" t="n">
        <v>46189</v>
      </c>
      <c r="I22" s="67">
        <f>H22</f>
        <v/>
      </c>
      <c r="J22" s="68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62" t="n">
        <v>19</v>
      </c>
      <c r="B23" s="62" t="inlineStr">
        <is>
          <t>J</t>
        </is>
      </c>
      <c r="C23" s="63" t="inlineStr">
        <is>
          <t>Argentina</t>
        </is>
      </c>
      <c r="D23" s="70" t="n">
        <v>2</v>
      </c>
      <c r="E23" s="65" t="inlineStr">
        <is>
          <t>X</t>
        </is>
      </c>
      <c r="F23" s="70" t="n">
        <v>1</v>
      </c>
      <c r="G23" s="63" t="inlineStr">
        <is>
          <t>Argélia</t>
        </is>
      </c>
      <c r="H23" s="66" t="n">
        <v>46189</v>
      </c>
      <c r="I23" s="67">
        <f>H23</f>
        <v/>
      </c>
      <c r="J23" s="68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62" t="n">
        <v>20</v>
      </c>
      <c r="B24" s="62" t="inlineStr">
        <is>
          <t>J</t>
        </is>
      </c>
      <c r="C24" s="63" t="inlineStr">
        <is>
          <t>Áustria</t>
        </is>
      </c>
      <c r="D24" s="70" t="n">
        <v>0</v>
      </c>
      <c r="E24" s="65" t="inlineStr">
        <is>
          <t>X</t>
        </is>
      </c>
      <c r="F24" s="70" t="n">
        <v>0</v>
      </c>
      <c r="G24" s="63" t="inlineStr">
        <is>
          <t>Jordânia</t>
        </is>
      </c>
      <c r="H24" s="66" t="n">
        <v>46190</v>
      </c>
      <c r="I24" s="67">
        <f>H24</f>
        <v/>
      </c>
      <c r="J24" s="68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62" t="n">
        <v>21</v>
      </c>
      <c r="B25" s="62" t="inlineStr">
        <is>
          <t>K</t>
        </is>
      </c>
      <c r="C25" s="63" t="inlineStr">
        <is>
          <t>Portugal</t>
        </is>
      </c>
      <c r="D25" s="70" t="n">
        <v>2</v>
      </c>
      <c r="E25" s="65" t="inlineStr">
        <is>
          <t>X</t>
        </is>
      </c>
      <c r="F25" s="70" t="n">
        <v>0</v>
      </c>
      <c r="G25" s="63" t="inlineStr">
        <is>
          <t>RD Congo</t>
        </is>
      </c>
      <c r="H25" s="66" t="n">
        <v>46190</v>
      </c>
      <c r="I25" s="67">
        <f>H25</f>
        <v/>
      </c>
      <c r="J25" s="68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62" t="n">
        <v>22</v>
      </c>
      <c r="B26" s="62" t="inlineStr">
        <is>
          <t>L</t>
        </is>
      </c>
      <c r="C26" s="63" t="inlineStr">
        <is>
          <t>Inglaterra</t>
        </is>
      </c>
      <c r="D26" s="70" t="n">
        <v>1</v>
      </c>
      <c r="E26" s="65" t="inlineStr">
        <is>
          <t>X</t>
        </is>
      </c>
      <c r="F26" s="70" t="n">
        <v>2</v>
      </c>
      <c r="G26" s="63" t="inlineStr">
        <is>
          <t>Croácia</t>
        </is>
      </c>
      <c r="H26" s="66" t="n">
        <v>46190</v>
      </c>
      <c r="I26" s="67">
        <f>H26</f>
        <v/>
      </c>
      <c r="J26" s="68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62" t="n">
        <v>23</v>
      </c>
      <c r="B27" s="62" t="inlineStr">
        <is>
          <t>L</t>
        </is>
      </c>
      <c r="C27" s="63" t="inlineStr">
        <is>
          <t>Gana</t>
        </is>
      </c>
      <c r="D27" s="70" t="n">
        <v>3</v>
      </c>
      <c r="E27" s="65" t="inlineStr">
        <is>
          <t>X</t>
        </is>
      </c>
      <c r="F27" s="70" t="n">
        <v>1</v>
      </c>
      <c r="G27" s="63" t="inlineStr">
        <is>
          <t>Panamá</t>
        </is>
      </c>
      <c r="H27" s="66" t="n">
        <v>46190</v>
      </c>
      <c r="I27" s="67">
        <f>H27</f>
        <v/>
      </c>
      <c r="J27" s="68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62" t="n">
        <v>24</v>
      </c>
      <c r="B28" s="62" t="inlineStr">
        <is>
          <t>K</t>
        </is>
      </c>
      <c r="C28" s="63" t="inlineStr">
        <is>
          <t>Uzbequistão</t>
        </is>
      </c>
      <c r="D28" s="70" t="n">
        <v>1</v>
      </c>
      <c r="E28" s="65" t="inlineStr">
        <is>
          <t>X</t>
        </is>
      </c>
      <c r="F28" s="70" t="n">
        <v>2</v>
      </c>
      <c r="G28" s="63" t="inlineStr">
        <is>
          <t>Colômbia</t>
        </is>
      </c>
      <c r="H28" s="66" t="n">
        <v>46190</v>
      </c>
      <c r="I28" s="67">
        <f>H28</f>
        <v/>
      </c>
      <c r="J28" s="68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62" t="n">
        <v>25</v>
      </c>
      <c r="B29" s="62" t="inlineStr">
        <is>
          <t>A</t>
        </is>
      </c>
      <c r="C29" s="63" t="inlineStr">
        <is>
          <t>Tchéquia</t>
        </is>
      </c>
      <c r="D29" s="70" t="n">
        <v>1</v>
      </c>
      <c r="E29" s="65" t="inlineStr">
        <is>
          <t>X</t>
        </is>
      </c>
      <c r="F29" s="70" t="n">
        <v>2</v>
      </c>
      <c r="G29" s="63" t="inlineStr">
        <is>
          <t>África do Sul</t>
        </is>
      </c>
      <c r="H29" s="66" t="n">
        <v>46191</v>
      </c>
      <c r="I29" s="67">
        <f>H29</f>
        <v/>
      </c>
      <c r="J29" s="68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62" t="n">
        <v>26</v>
      </c>
      <c r="B30" s="62" t="inlineStr">
        <is>
          <t>B</t>
        </is>
      </c>
      <c r="C30" s="63" t="inlineStr">
        <is>
          <t>Suíça</t>
        </is>
      </c>
      <c r="D30" s="70" t="n">
        <v>2</v>
      </c>
      <c r="E30" s="65" t="inlineStr">
        <is>
          <t>X</t>
        </is>
      </c>
      <c r="F30" s="70" t="n">
        <v>2</v>
      </c>
      <c r="G30" s="63" t="inlineStr">
        <is>
          <t>Bósnia</t>
        </is>
      </c>
      <c r="H30" s="66" t="n">
        <v>46191</v>
      </c>
      <c r="I30" s="67">
        <f>H30</f>
        <v/>
      </c>
      <c r="J30" s="68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62" t="n">
        <v>27</v>
      </c>
      <c r="B31" s="62" t="inlineStr">
        <is>
          <t>B</t>
        </is>
      </c>
      <c r="C31" s="63" t="inlineStr">
        <is>
          <t>Canadá</t>
        </is>
      </c>
      <c r="D31" s="70" t="n">
        <v>3</v>
      </c>
      <c r="E31" s="65" t="inlineStr">
        <is>
          <t>X</t>
        </is>
      </c>
      <c r="F31" s="70" t="n">
        <v>0</v>
      </c>
      <c r="G31" s="63" t="inlineStr">
        <is>
          <t>Catar</t>
        </is>
      </c>
      <c r="H31" s="66" t="n">
        <v>46191</v>
      </c>
      <c r="I31" s="67">
        <f>H31</f>
        <v/>
      </c>
      <c r="J31" s="68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62" t="n">
        <v>28</v>
      </c>
      <c r="B32" s="62" t="inlineStr">
        <is>
          <t>A</t>
        </is>
      </c>
      <c r="C32" s="63" t="inlineStr">
        <is>
          <t>México</t>
        </is>
      </c>
      <c r="D32" s="70" t="n">
        <v>1</v>
      </c>
      <c r="E32" s="65" t="inlineStr">
        <is>
          <t>X</t>
        </is>
      </c>
      <c r="F32" s="70" t="n">
        <v>0</v>
      </c>
      <c r="G32" s="63" t="inlineStr">
        <is>
          <t>Coreia do Sul</t>
        </is>
      </c>
      <c r="H32" s="66" t="n">
        <v>46191</v>
      </c>
      <c r="I32" s="67">
        <f>H32</f>
        <v/>
      </c>
      <c r="J32" s="68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62" t="n">
        <v>29</v>
      </c>
      <c r="B33" s="62" t="inlineStr">
        <is>
          <t>D</t>
        </is>
      </c>
      <c r="C33" s="63" t="inlineStr">
        <is>
          <t>EUA</t>
        </is>
      </c>
      <c r="D33" s="70" t="n">
        <v>2</v>
      </c>
      <c r="E33" s="65" t="inlineStr">
        <is>
          <t>X</t>
        </is>
      </c>
      <c r="F33" s="70" t="n">
        <v>1</v>
      </c>
      <c r="G33" s="63" t="inlineStr">
        <is>
          <t>Austrália</t>
        </is>
      </c>
      <c r="H33" s="66" t="n">
        <v>46192</v>
      </c>
      <c r="I33" s="67">
        <f>H33</f>
        <v/>
      </c>
      <c r="J33" s="68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62" t="n">
        <v>30</v>
      </c>
      <c r="B34" s="62" t="inlineStr">
        <is>
          <t>C</t>
        </is>
      </c>
      <c r="C34" s="63" t="inlineStr">
        <is>
          <t>Marrocos</t>
        </is>
      </c>
      <c r="D34" s="70" t="n">
        <v>1</v>
      </c>
      <c r="E34" s="65" t="inlineStr">
        <is>
          <t>X</t>
        </is>
      </c>
      <c r="F34" s="70" t="n">
        <v>1</v>
      </c>
      <c r="G34" s="63" t="inlineStr">
        <is>
          <t>Escócia</t>
        </is>
      </c>
      <c r="H34" s="66" t="n">
        <v>46192</v>
      </c>
      <c r="I34" s="67">
        <f>H34</f>
        <v/>
      </c>
      <c r="J34" s="68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62" t="n">
        <v>31</v>
      </c>
      <c r="B35" s="62" t="inlineStr">
        <is>
          <t>C</t>
        </is>
      </c>
      <c r="C35" s="69" t="inlineStr">
        <is>
          <t>Brasil</t>
        </is>
      </c>
      <c r="D35" s="70" t="n">
        <v>2</v>
      </c>
      <c r="E35" s="65" t="inlineStr">
        <is>
          <t>X</t>
        </is>
      </c>
      <c r="F35" s="70" t="n">
        <v>1</v>
      </c>
      <c r="G35" s="63" t="inlineStr">
        <is>
          <t>Haiti</t>
        </is>
      </c>
      <c r="H35" s="66" t="n">
        <v>46192</v>
      </c>
      <c r="I35" s="67">
        <f>H35</f>
        <v/>
      </c>
      <c r="J35" s="68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62" t="n">
        <v>32</v>
      </c>
      <c r="B36" s="62" t="inlineStr">
        <is>
          <t>D</t>
        </is>
      </c>
      <c r="C36" s="63" t="inlineStr">
        <is>
          <t>Turquia</t>
        </is>
      </c>
      <c r="D36" s="70" t="n">
        <v>0</v>
      </c>
      <c r="E36" s="65" t="inlineStr">
        <is>
          <t>X</t>
        </is>
      </c>
      <c r="F36" s="70" t="n">
        <v>0</v>
      </c>
      <c r="G36" s="63" t="inlineStr">
        <is>
          <t>Paraguai</t>
        </is>
      </c>
      <c r="H36" s="66" t="n">
        <v>46193</v>
      </c>
      <c r="I36" s="67">
        <f>H36</f>
        <v/>
      </c>
      <c r="J36" s="68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62" t="n">
        <v>33</v>
      </c>
      <c r="B37" s="62" t="inlineStr">
        <is>
          <t>F</t>
        </is>
      </c>
      <c r="C37" s="63" t="inlineStr">
        <is>
          <t>Holanda</t>
        </is>
      </c>
      <c r="D37" s="70" t="n">
        <v>0</v>
      </c>
      <c r="E37" s="65" t="inlineStr">
        <is>
          <t>X</t>
        </is>
      </c>
      <c r="F37" s="70" t="n">
        <v>1</v>
      </c>
      <c r="G37" s="63" t="inlineStr">
        <is>
          <t>Suécia</t>
        </is>
      </c>
      <c r="H37" s="66" t="n">
        <v>46193</v>
      </c>
      <c r="I37" s="67">
        <f>H37</f>
        <v/>
      </c>
      <c r="J37" s="68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62" t="n">
        <v>34</v>
      </c>
      <c r="B38" s="62" t="inlineStr">
        <is>
          <t>E</t>
        </is>
      </c>
      <c r="C38" s="63" t="inlineStr">
        <is>
          <t>Alemanha</t>
        </is>
      </c>
      <c r="D38" s="70" t="n">
        <v>3</v>
      </c>
      <c r="E38" s="65" t="inlineStr">
        <is>
          <t>X</t>
        </is>
      </c>
      <c r="F38" s="70" t="n">
        <v>4</v>
      </c>
      <c r="G38" s="63" t="inlineStr">
        <is>
          <t>Costa do Marfim</t>
        </is>
      </c>
      <c r="H38" s="66" t="n">
        <v>46193</v>
      </c>
      <c r="I38" s="67">
        <f>H38</f>
        <v/>
      </c>
      <c r="J38" s="68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62" t="n">
        <v>35</v>
      </c>
      <c r="B39" s="62" t="inlineStr">
        <is>
          <t>E</t>
        </is>
      </c>
      <c r="C39" s="63" t="inlineStr">
        <is>
          <t>Equador</t>
        </is>
      </c>
      <c r="D39" s="70" t="n">
        <v>1</v>
      </c>
      <c r="E39" s="65" t="inlineStr">
        <is>
          <t>X</t>
        </is>
      </c>
      <c r="F39" s="70" t="n">
        <v>1</v>
      </c>
      <c r="G39" s="63" t="inlineStr">
        <is>
          <t>Curaçau</t>
        </is>
      </c>
      <c r="H39" s="66" t="n">
        <v>46193</v>
      </c>
      <c r="I39" s="67">
        <f>H39</f>
        <v/>
      </c>
      <c r="J39" s="68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62" t="n">
        <v>36</v>
      </c>
      <c r="B40" s="62" t="inlineStr">
        <is>
          <t>F</t>
        </is>
      </c>
      <c r="C40" s="63" t="inlineStr">
        <is>
          <t>Tunísia</t>
        </is>
      </c>
      <c r="D40" s="70" t="n">
        <v>2</v>
      </c>
      <c r="E40" s="65" t="inlineStr">
        <is>
          <t>X</t>
        </is>
      </c>
      <c r="F40" s="70" t="n">
        <v>1</v>
      </c>
      <c r="G40" s="63" t="inlineStr">
        <is>
          <t>Japão</t>
        </is>
      </c>
      <c r="H40" s="66" t="n">
        <v>46194</v>
      </c>
      <c r="I40" s="67">
        <f>H40</f>
        <v/>
      </c>
      <c r="J40" s="68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62" t="n">
        <v>37</v>
      </c>
      <c r="B41" s="62" t="inlineStr">
        <is>
          <t>H</t>
        </is>
      </c>
      <c r="C41" s="63" t="inlineStr">
        <is>
          <t>Espanha</t>
        </is>
      </c>
      <c r="D41" s="70" t="n">
        <v>3</v>
      </c>
      <c r="E41" s="65" t="inlineStr">
        <is>
          <t>X</t>
        </is>
      </c>
      <c r="F41" s="70" t="n">
        <v>2</v>
      </c>
      <c r="G41" s="63" t="inlineStr">
        <is>
          <t>Arábia Saudita</t>
        </is>
      </c>
      <c r="H41" s="66" t="n">
        <v>46194</v>
      </c>
      <c r="I41" s="67">
        <f>H41</f>
        <v/>
      </c>
      <c r="J41" s="68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62" t="n">
        <v>38</v>
      </c>
      <c r="B42" s="62" t="inlineStr">
        <is>
          <t>G</t>
        </is>
      </c>
      <c r="C42" s="63" t="inlineStr">
        <is>
          <t>Bélgica</t>
        </is>
      </c>
      <c r="D42" s="70" t="n">
        <v>1</v>
      </c>
      <c r="E42" s="65" t="inlineStr">
        <is>
          <t>X</t>
        </is>
      </c>
      <c r="F42" s="70" t="n">
        <v>2</v>
      </c>
      <c r="G42" s="63" t="inlineStr">
        <is>
          <t>Irã</t>
        </is>
      </c>
      <c r="H42" s="66" t="n">
        <v>46194</v>
      </c>
      <c r="I42" s="67">
        <f>H42</f>
        <v/>
      </c>
      <c r="J42" s="68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62" t="n">
        <v>39</v>
      </c>
      <c r="B43" s="62" t="inlineStr">
        <is>
          <t>H</t>
        </is>
      </c>
      <c r="C43" s="63" t="inlineStr">
        <is>
          <t>Uruguai</t>
        </is>
      </c>
      <c r="D43" s="70" t="n">
        <v>4</v>
      </c>
      <c r="E43" s="65" t="inlineStr">
        <is>
          <t>X</t>
        </is>
      </c>
      <c r="F43" s="70" t="n">
        <v>0</v>
      </c>
      <c r="G43" s="63" t="inlineStr">
        <is>
          <t>Cabo Verde</t>
        </is>
      </c>
      <c r="H43" s="66" t="n">
        <v>46194</v>
      </c>
      <c r="I43" s="67">
        <f>H43</f>
        <v/>
      </c>
      <c r="J43" s="68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62" t="n">
        <v>40</v>
      </c>
      <c r="B44" s="62" t="inlineStr">
        <is>
          <t>G</t>
        </is>
      </c>
      <c r="C44" s="63" t="inlineStr">
        <is>
          <t>Nova Zelândia</t>
        </is>
      </c>
      <c r="D44" s="70" t="n">
        <v>2</v>
      </c>
      <c r="E44" s="65" t="inlineStr">
        <is>
          <t>X</t>
        </is>
      </c>
      <c r="F44" s="70" t="n">
        <v>1</v>
      </c>
      <c r="G44" s="63" t="inlineStr">
        <is>
          <t>Egito</t>
        </is>
      </c>
      <c r="H44" s="66" t="n">
        <v>46194</v>
      </c>
      <c r="I44" s="67">
        <f>H44</f>
        <v/>
      </c>
      <c r="J44" s="68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62" t="n">
        <v>41</v>
      </c>
      <c r="B45" s="62" t="inlineStr">
        <is>
          <t>I</t>
        </is>
      </c>
      <c r="C45" s="63" t="inlineStr">
        <is>
          <t>França</t>
        </is>
      </c>
      <c r="D45" s="70" t="n">
        <v>3</v>
      </c>
      <c r="E45" s="65" t="inlineStr">
        <is>
          <t>X</t>
        </is>
      </c>
      <c r="F45" s="70" t="n">
        <v>1</v>
      </c>
      <c r="G45" s="63" t="inlineStr">
        <is>
          <t>Iraque</t>
        </is>
      </c>
      <c r="H45" s="66" t="n">
        <v>46195</v>
      </c>
      <c r="I45" s="67">
        <f>H45</f>
        <v/>
      </c>
      <c r="J45" s="68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62" t="n">
        <v>42</v>
      </c>
      <c r="B46" s="62" t="inlineStr">
        <is>
          <t>I</t>
        </is>
      </c>
      <c r="C46" s="63" t="inlineStr">
        <is>
          <t>Noruega</t>
        </is>
      </c>
      <c r="D46" s="70" t="n">
        <v>6</v>
      </c>
      <c r="E46" s="65" t="inlineStr">
        <is>
          <t>X</t>
        </is>
      </c>
      <c r="F46" s="70" t="n">
        <v>5</v>
      </c>
      <c r="G46" s="63" t="inlineStr">
        <is>
          <t>Senegal</t>
        </is>
      </c>
      <c r="H46" s="66" t="n">
        <v>46195</v>
      </c>
      <c r="I46" s="67">
        <f>H46</f>
        <v/>
      </c>
      <c r="J46" s="68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62" t="n">
        <v>43</v>
      </c>
      <c r="B47" s="62" t="inlineStr">
        <is>
          <t>J</t>
        </is>
      </c>
      <c r="C47" s="63" t="inlineStr">
        <is>
          <t>Argentina</t>
        </is>
      </c>
      <c r="D47" s="70" t="n">
        <v>1</v>
      </c>
      <c r="E47" s="65" t="inlineStr">
        <is>
          <t>X</t>
        </is>
      </c>
      <c r="F47" s="70" t="n">
        <v>0</v>
      </c>
      <c r="G47" s="63" t="inlineStr">
        <is>
          <t>Áustria</t>
        </is>
      </c>
      <c r="H47" s="66" t="n">
        <v>46195</v>
      </c>
      <c r="I47" s="67">
        <f>H47</f>
        <v/>
      </c>
      <c r="J47" s="68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62" t="n">
        <v>44</v>
      </c>
      <c r="B48" s="62" t="inlineStr">
        <is>
          <t>J</t>
        </is>
      </c>
      <c r="C48" s="63" t="inlineStr">
        <is>
          <t>Jordânia</t>
        </is>
      </c>
      <c r="D48" s="70" t="n">
        <v>3</v>
      </c>
      <c r="E48" s="65" t="inlineStr">
        <is>
          <t>X</t>
        </is>
      </c>
      <c r="F48" s="70" t="n">
        <v>2</v>
      </c>
      <c r="G48" s="63" t="inlineStr">
        <is>
          <t>Argélia</t>
        </is>
      </c>
      <c r="H48" s="66" t="n">
        <v>46196</v>
      </c>
      <c r="I48" s="67">
        <f>H48</f>
        <v/>
      </c>
      <c r="J48" s="68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62" t="n">
        <v>45</v>
      </c>
      <c r="B49" s="62" t="inlineStr">
        <is>
          <t>K</t>
        </is>
      </c>
      <c r="C49" s="63" t="inlineStr">
        <is>
          <t>Portugal</t>
        </is>
      </c>
      <c r="D49" s="70" t="n">
        <v>1</v>
      </c>
      <c r="E49" s="65" t="inlineStr">
        <is>
          <t>X</t>
        </is>
      </c>
      <c r="F49" s="70" t="n">
        <v>0</v>
      </c>
      <c r="G49" s="63" t="inlineStr">
        <is>
          <t>Uzbequistão</t>
        </is>
      </c>
      <c r="H49" s="66" t="n">
        <v>46196</v>
      </c>
      <c r="I49" s="67">
        <f>H49</f>
        <v/>
      </c>
      <c r="J49" s="68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62" t="n">
        <v>46</v>
      </c>
      <c r="B50" s="62" t="inlineStr">
        <is>
          <t>L</t>
        </is>
      </c>
      <c r="C50" s="63" t="inlineStr">
        <is>
          <t>Inglaterra</t>
        </is>
      </c>
      <c r="D50" s="70" t="n">
        <v>2</v>
      </c>
      <c r="E50" s="65" t="inlineStr">
        <is>
          <t>X</t>
        </is>
      </c>
      <c r="F50" s="70" t="n">
        <v>3</v>
      </c>
      <c r="G50" s="63" t="inlineStr">
        <is>
          <t>Gana</t>
        </is>
      </c>
      <c r="H50" s="66" t="n">
        <v>46196</v>
      </c>
      <c r="I50" s="67">
        <f>H50</f>
        <v/>
      </c>
      <c r="J50" s="68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62" t="n">
        <v>47</v>
      </c>
      <c r="B51" s="62" t="inlineStr">
        <is>
          <t>L</t>
        </is>
      </c>
      <c r="C51" s="63" t="inlineStr">
        <is>
          <t>Panamá</t>
        </is>
      </c>
      <c r="D51" s="70" t="n">
        <v>0</v>
      </c>
      <c r="E51" s="65" t="inlineStr">
        <is>
          <t>X</t>
        </is>
      </c>
      <c r="F51" s="70" t="n">
        <v>2</v>
      </c>
      <c r="G51" s="63" t="inlineStr">
        <is>
          <t>Croácia</t>
        </is>
      </c>
      <c r="H51" s="66" t="n">
        <v>46196</v>
      </c>
      <c r="I51" s="67">
        <f>H51</f>
        <v/>
      </c>
      <c r="J51" s="68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62" t="n">
        <v>48</v>
      </c>
      <c r="B52" s="62" t="inlineStr">
        <is>
          <t>K</t>
        </is>
      </c>
      <c r="C52" s="63" t="inlineStr">
        <is>
          <t>Colômbia</t>
        </is>
      </c>
      <c r="D52" s="70" t="n">
        <v>0</v>
      </c>
      <c r="E52" s="65" t="inlineStr">
        <is>
          <t>X</t>
        </is>
      </c>
      <c r="F52" s="70" t="n">
        <v>0</v>
      </c>
      <c r="G52" s="63" t="inlineStr">
        <is>
          <t>RD Congo</t>
        </is>
      </c>
      <c r="H52" s="66" t="n">
        <v>46196</v>
      </c>
      <c r="I52" s="67">
        <f>H52</f>
        <v/>
      </c>
      <c r="J52" s="68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62" t="n">
        <v>49</v>
      </c>
      <c r="B53" s="62" t="inlineStr">
        <is>
          <t>B</t>
        </is>
      </c>
      <c r="C53" s="63" t="inlineStr">
        <is>
          <t>Suíça</t>
        </is>
      </c>
      <c r="D53" s="70" t="n">
        <v>0</v>
      </c>
      <c r="E53" s="65" t="inlineStr">
        <is>
          <t>X</t>
        </is>
      </c>
      <c r="F53" s="70" t="n">
        <v>0</v>
      </c>
      <c r="G53" s="63" t="inlineStr">
        <is>
          <t>Canadá</t>
        </is>
      </c>
      <c r="H53" s="66" t="n">
        <v>46197</v>
      </c>
      <c r="I53" s="67">
        <f>H53</f>
        <v/>
      </c>
      <c r="J53" s="68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62" t="n">
        <v>50</v>
      </c>
      <c r="B54" s="62" t="inlineStr">
        <is>
          <t>B</t>
        </is>
      </c>
      <c r="C54" s="63" t="inlineStr">
        <is>
          <t>Bósnia</t>
        </is>
      </c>
      <c r="D54" s="70" t="n">
        <v>4</v>
      </c>
      <c r="E54" s="65" t="inlineStr">
        <is>
          <t>X</t>
        </is>
      </c>
      <c r="F54" s="70" t="n">
        <v>2</v>
      </c>
      <c r="G54" s="63" t="inlineStr">
        <is>
          <t>Catar</t>
        </is>
      </c>
      <c r="H54" s="66" t="n">
        <v>46197</v>
      </c>
      <c r="I54" s="67">
        <f>H54</f>
        <v/>
      </c>
      <c r="J54" s="68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62" t="n">
        <v>51</v>
      </c>
      <c r="B55" s="62" t="inlineStr">
        <is>
          <t>C</t>
        </is>
      </c>
      <c r="C55" s="63" t="inlineStr">
        <is>
          <t>Escócia</t>
        </is>
      </c>
      <c r="D55" s="70" t="n">
        <v>1</v>
      </c>
      <c r="E55" s="65" t="inlineStr">
        <is>
          <t>X</t>
        </is>
      </c>
      <c r="F55" s="70" t="n">
        <v>2</v>
      </c>
      <c r="G55" s="69" t="inlineStr">
        <is>
          <t>Brasil</t>
        </is>
      </c>
      <c r="H55" s="66" t="n">
        <v>46197</v>
      </c>
      <c r="I55" s="67">
        <f>H55</f>
        <v/>
      </c>
      <c r="J55" s="68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62" t="n">
        <v>52</v>
      </c>
      <c r="B56" s="62" t="inlineStr">
        <is>
          <t>C</t>
        </is>
      </c>
      <c r="C56" s="63" t="inlineStr">
        <is>
          <t>Marrocos</t>
        </is>
      </c>
      <c r="D56" s="70" t="n">
        <v>2</v>
      </c>
      <c r="E56" s="65" t="inlineStr">
        <is>
          <t>X</t>
        </is>
      </c>
      <c r="F56" s="70" t="n">
        <v>1</v>
      </c>
      <c r="G56" s="63" t="inlineStr">
        <is>
          <t>Haiti</t>
        </is>
      </c>
      <c r="H56" s="66" t="n">
        <v>46197</v>
      </c>
      <c r="I56" s="67">
        <f>H56</f>
        <v/>
      </c>
      <c r="J56" s="68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62" t="n">
        <v>53</v>
      </c>
      <c r="B57" s="62" t="inlineStr">
        <is>
          <t>A</t>
        </is>
      </c>
      <c r="C57" s="63" t="inlineStr">
        <is>
          <t>Tchéquia</t>
        </is>
      </c>
      <c r="D57" s="70" t="n">
        <v>1</v>
      </c>
      <c r="E57" s="65" t="inlineStr">
        <is>
          <t>X</t>
        </is>
      </c>
      <c r="F57" s="70" t="n">
        <v>2</v>
      </c>
      <c r="G57" s="63" t="inlineStr">
        <is>
          <t>México</t>
        </is>
      </c>
      <c r="H57" s="66" t="n">
        <v>46197</v>
      </c>
      <c r="I57" s="67">
        <f>H57</f>
        <v/>
      </c>
      <c r="J57" s="68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62" t="n">
        <v>54</v>
      </c>
      <c r="B58" s="62" t="inlineStr">
        <is>
          <t>A</t>
        </is>
      </c>
      <c r="C58" s="63" t="inlineStr">
        <is>
          <t>África do Sul</t>
        </is>
      </c>
      <c r="D58" s="70" t="n">
        <v>1</v>
      </c>
      <c r="E58" s="65" t="inlineStr">
        <is>
          <t>X</t>
        </is>
      </c>
      <c r="F58" s="70" t="n">
        <v>2</v>
      </c>
      <c r="G58" s="63" t="inlineStr">
        <is>
          <t>Coreia do Sul</t>
        </is>
      </c>
      <c r="H58" s="66" t="n">
        <v>46197</v>
      </c>
      <c r="I58" s="67">
        <f>H58</f>
        <v/>
      </c>
      <c r="J58" s="68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62" t="n">
        <v>55</v>
      </c>
      <c r="B59" s="62" t="inlineStr">
        <is>
          <t>E</t>
        </is>
      </c>
      <c r="C59" s="63" t="inlineStr">
        <is>
          <t>Equador</t>
        </is>
      </c>
      <c r="D59" s="70" t="n">
        <v>0</v>
      </c>
      <c r="E59" s="65" t="inlineStr">
        <is>
          <t>X</t>
        </is>
      </c>
      <c r="F59" s="70" t="n">
        <v>1</v>
      </c>
      <c r="G59" s="63" t="inlineStr">
        <is>
          <t>Alemanha</t>
        </is>
      </c>
      <c r="H59" s="66" t="n">
        <v>46198</v>
      </c>
      <c r="I59" s="67">
        <f>H59</f>
        <v/>
      </c>
      <c r="J59" s="68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62" t="n">
        <v>56</v>
      </c>
      <c r="B60" s="62" t="inlineStr">
        <is>
          <t>E</t>
        </is>
      </c>
      <c r="C60" s="63" t="inlineStr">
        <is>
          <t>Curaçau</t>
        </is>
      </c>
      <c r="D60" s="70" t="n">
        <v>5</v>
      </c>
      <c r="E60" s="65" t="inlineStr">
        <is>
          <t>X</t>
        </is>
      </c>
      <c r="F60" s="70" t="n">
        <v>4</v>
      </c>
      <c r="G60" s="63" t="inlineStr">
        <is>
          <t>Costa do Marfim</t>
        </is>
      </c>
      <c r="H60" s="66" t="n">
        <v>46198</v>
      </c>
      <c r="I60" s="67">
        <f>H60</f>
        <v/>
      </c>
      <c r="J60" s="68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62" t="n">
        <v>57</v>
      </c>
      <c r="B61" s="62" t="inlineStr">
        <is>
          <t>D</t>
        </is>
      </c>
      <c r="C61" s="63" t="inlineStr">
        <is>
          <t>Turquia</t>
        </is>
      </c>
      <c r="D61" s="70" t="n">
        <v>0</v>
      </c>
      <c r="E61" s="65" t="inlineStr">
        <is>
          <t>X</t>
        </is>
      </c>
      <c r="F61" s="70" t="n">
        <v>1</v>
      </c>
      <c r="G61" s="63" t="inlineStr">
        <is>
          <t>EUA</t>
        </is>
      </c>
      <c r="H61" s="66" t="n">
        <v>46198</v>
      </c>
      <c r="I61" s="67">
        <f>H61</f>
        <v/>
      </c>
      <c r="J61" s="68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62" t="n">
        <v>58</v>
      </c>
      <c r="B62" s="62" t="inlineStr">
        <is>
          <t>D</t>
        </is>
      </c>
      <c r="C62" s="63" t="inlineStr">
        <is>
          <t>Paraguai</t>
        </is>
      </c>
      <c r="D62" s="70" t="n">
        <v>3</v>
      </c>
      <c r="E62" s="65" t="inlineStr">
        <is>
          <t>X</t>
        </is>
      </c>
      <c r="F62" s="70" t="n">
        <v>4</v>
      </c>
      <c r="G62" s="63" t="inlineStr">
        <is>
          <t>Austrália</t>
        </is>
      </c>
      <c r="H62" s="66" t="n">
        <v>46198</v>
      </c>
      <c r="I62" s="67">
        <f>H62</f>
        <v/>
      </c>
      <c r="J62" s="68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62" t="n">
        <v>59</v>
      </c>
      <c r="B63" s="62" t="inlineStr">
        <is>
          <t>F</t>
        </is>
      </c>
      <c r="C63" s="63" t="inlineStr">
        <is>
          <t>Tunísia</t>
        </is>
      </c>
      <c r="D63" s="70" t="n">
        <v>0</v>
      </c>
      <c r="E63" s="65" t="inlineStr">
        <is>
          <t>X</t>
        </is>
      </c>
      <c r="F63" s="70" t="n">
        <v>3</v>
      </c>
      <c r="G63" s="63" t="inlineStr">
        <is>
          <t>Holanda</t>
        </is>
      </c>
      <c r="H63" s="66" t="n">
        <v>46198</v>
      </c>
      <c r="I63" s="67">
        <f>H63</f>
        <v/>
      </c>
      <c r="J63" s="68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62" t="n">
        <v>60</v>
      </c>
      <c r="B64" s="62" t="inlineStr">
        <is>
          <t>F</t>
        </is>
      </c>
      <c r="C64" s="63" t="inlineStr">
        <is>
          <t>Japão</t>
        </is>
      </c>
      <c r="D64" s="70" t="n">
        <v>0</v>
      </c>
      <c r="E64" s="65" t="inlineStr">
        <is>
          <t>X</t>
        </is>
      </c>
      <c r="F64" s="70" t="n">
        <v>1</v>
      </c>
      <c r="G64" s="63" t="inlineStr">
        <is>
          <t>Suécia</t>
        </is>
      </c>
      <c r="H64" s="66" t="n">
        <v>46198</v>
      </c>
      <c r="I64" s="67">
        <f>H64</f>
        <v/>
      </c>
      <c r="J64" s="68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62" t="n">
        <v>61</v>
      </c>
      <c r="B65" s="62" t="inlineStr">
        <is>
          <t>I</t>
        </is>
      </c>
      <c r="C65" s="63" t="inlineStr">
        <is>
          <t>Noruega</t>
        </is>
      </c>
      <c r="D65" s="70" t="n">
        <v>0</v>
      </c>
      <c r="E65" s="65" t="inlineStr">
        <is>
          <t>X</t>
        </is>
      </c>
      <c r="F65" s="70" t="n">
        <v>4</v>
      </c>
      <c r="G65" s="63" t="inlineStr">
        <is>
          <t>França</t>
        </is>
      </c>
      <c r="H65" s="66" t="n">
        <v>46199</v>
      </c>
      <c r="I65" s="67">
        <f>H65</f>
        <v/>
      </c>
      <c r="J65" s="68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62" t="n">
        <v>62</v>
      </c>
      <c r="B66" s="62" t="inlineStr">
        <is>
          <t>I</t>
        </is>
      </c>
      <c r="C66" s="63" t="inlineStr">
        <is>
          <t>Senegal</t>
        </is>
      </c>
      <c r="D66" s="70" t="n">
        <v>2</v>
      </c>
      <c r="E66" s="65" t="inlineStr">
        <is>
          <t>X</t>
        </is>
      </c>
      <c r="F66" s="70" t="n">
        <v>1</v>
      </c>
      <c r="G66" s="63" t="inlineStr">
        <is>
          <t>Iraque</t>
        </is>
      </c>
      <c r="H66" s="66" t="n">
        <v>46199</v>
      </c>
      <c r="I66" s="67">
        <f>H66</f>
        <v/>
      </c>
      <c r="J66" s="68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62" t="n">
        <v>63</v>
      </c>
      <c r="B67" s="62" t="inlineStr">
        <is>
          <t>H</t>
        </is>
      </c>
      <c r="C67" s="63" t="inlineStr">
        <is>
          <t>Uruguai</t>
        </is>
      </c>
      <c r="D67" s="70" t="n">
        <v>0</v>
      </c>
      <c r="E67" s="65" t="inlineStr">
        <is>
          <t>X</t>
        </is>
      </c>
      <c r="F67" s="70" t="n">
        <v>1</v>
      </c>
      <c r="G67" s="63" t="inlineStr">
        <is>
          <t>Espanha</t>
        </is>
      </c>
      <c r="H67" s="66" t="n">
        <v>46199</v>
      </c>
      <c r="I67" s="67">
        <f>H67</f>
        <v/>
      </c>
      <c r="J67" s="68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62" t="n">
        <v>64</v>
      </c>
      <c r="B68" s="62" t="inlineStr">
        <is>
          <t>H</t>
        </is>
      </c>
      <c r="C68" s="63" t="inlineStr">
        <is>
          <t>Cabo Verde</t>
        </is>
      </c>
      <c r="D68" s="70" t="n">
        <v>1</v>
      </c>
      <c r="E68" s="65" t="inlineStr">
        <is>
          <t>X</t>
        </is>
      </c>
      <c r="F68" s="70" t="n">
        <v>2</v>
      </c>
      <c r="G68" s="63" t="inlineStr">
        <is>
          <t>Arábia Saudita</t>
        </is>
      </c>
      <c r="H68" s="66" t="n">
        <v>46199</v>
      </c>
      <c r="I68" s="67">
        <f>H68</f>
        <v/>
      </c>
      <c r="J68" s="68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62" t="n">
        <v>65</v>
      </c>
      <c r="B69" s="62" t="inlineStr">
        <is>
          <t>G</t>
        </is>
      </c>
      <c r="C69" s="63" t="inlineStr">
        <is>
          <t>Egito</t>
        </is>
      </c>
      <c r="D69" s="70" t="n">
        <v>0</v>
      </c>
      <c r="E69" s="65" t="inlineStr">
        <is>
          <t>X</t>
        </is>
      </c>
      <c r="F69" s="70" t="n">
        <v>0</v>
      </c>
      <c r="G69" s="63" t="inlineStr">
        <is>
          <t>Irã</t>
        </is>
      </c>
      <c r="H69" s="66" t="n">
        <v>46199</v>
      </c>
      <c r="I69" s="67">
        <f>H69</f>
        <v/>
      </c>
      <c r="J69" s="68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62" t="n">
        <v>66</v>
      </c>
      <c r="B70" s="62" t="inlineStr">
        <is>
          <t>G</t>
        </is>
      </c>
      <c r="C70" s="63" t="inlineStr">
        <is>
          <t>Nova Zelândia</t>
        </is>
      </c>
      <c r="D70" s="70" t="n">
        <v>0</v>
      </c>
      <c r="E70" s="65" t="inlineStr">
        <is>
          <t>X</t>
        </is>
      </c>
      <c r="F70" s="70" t="n">
        <v>0</v>
      </c>
      <c r="G70" s="63" t="inlineStr">
        <is>
          <t>Bélgica</t>
        </is>
      </c>
      <c r="H70" s="66" t="n">
        <v>46199</v>
      </c>
      <c r="I70" s="67">
        <f>H70</f>
        <v/>
      </c>
      <c r="J70" s="68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62" t="n">
        <v>67</v>
      </c>
      <c r="B71" s="62" t="inlineStr">
        <is>
          <t>J</t>
        </is>
      </c>
      <c r="C71" s="63" t="inlineStr">
        <is>
          <t>Argélia</t>
        </is>
      </c>
      <c r="D71" s="70" t="n">
        <v>2</v>
      </c>
      <c r="E71" s="65" t="inlineStr">
        <is>
          <t>X</t>
        </is>
      </c>
      <c r="F71" s="70" t="n">
        <v>1</v>
      </c>
      <c r="G71" s="63" t="inlineStr">
        <is>
          <t>Áustria</t>
        </is>
      </c>
      <c r="H71" s="66" t="n">
        <v>46200</v>
      </c>
      <c r="I71" s="67">
        <f>H71</f>
        <v/>
      </c>
      <c r="J71" s="68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62" t="n">
        <v>68</v>
      </c>
      <c r="B72" s="62" t="inlineStr">
        <is>
          <t>J</t>
        </is>
      </c>
      <c r="C72" s="63" t="inlineStr">
        <is>
          <t>Jordânia</t>
        </is>
      </c>
      <c r="D72" s="70" t="n">
        <v>1</v>
      </c>
      <c r="E72" s="65" t="inlineStr">
        <is>
          <t>X</t>
        </is>
      </c>
      <c r="F72" s="70" t="n">
        <v>1</v>
      </c>
      <c r="G72" s="63" t="inlineStr">
        <is>
          <t>Argentina</t>
        </is>
      </c>
      <c r="H72" s="66" t="n">
        <v>46200</v>
      </c>
      <c r="I72" s="67">
        <f>H72</f>
        <v/>
      </c>
      <c r="J72" s="68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62" t="n">
        <v>69</v>
      </c>
      <c r="B73" s="62" t="inlineStr">
        <is>
          <t>L</t>
        </is>
      </c>
      <c r="C73" s="63" t="inlineStr">
        <is>
          <t>Panamá</t>
        </is>
      </c>
      <c r="D73" s="70" t="n">
        <v>2</v>
      </c>
      <c r="E73" s="65" t="inlineStr">
        <is>
          <t>X</t>
        </is>
      </c>
      <c r="F73" s="70" t="n">
        <v>3</v>
      </c>
      <c r="G73" s="63" t="inlineStr">
        <is>
          <t>Inglaterra</t>
        </is>
      </c>
      <c r="H73" s="66" t="n">
        <v>46200</v>
      </c>
      <c r="I73" s="67">
        <f>H73</f>
        <v/>
      </c>
      <c r="J73" s="68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62" t="n">
        <v>70</v>
      </c>
      <c r="B74" s="62" t="inlineStr">
        <is>
          <t>L</t>
        </is>
      </c>
      <c r="C74" s="63" t="inlineStr">
        <is>
          <t>Croácia</t>
        </is>
      </c>
      <c r="D74" s="70" t="n">
        <v>2</v>
      </c>
      <c r="E74" s="65" t="inlineStr">
        <is>
          <t>X</t>
        </is>
      </c>
      <c r="F74" s="70" t="n">
        <v>2</v>
      </c>
      <c r="G74" s="63" t="inlineStr">
        <is>
          <t>Gana</t>
        </is>
      </c>
      <c r="H74" s="66" t="n">
        <v>46200</v>
      </c>
      <c r="I74" s="67">
        <f>H74</f>
        <v/>
      </c>
      <c r="J74" s="68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62" t="n">
        <v>71</v>
      </c>
      <c r="B75" s="62" t="inlineStr">
        <is>
          <t>K</t>
        </is>
      </c>
      <c r="C75" s="63" t="inlineStr">
        <is>
          <t>RD Congo</t>
        </is>
      </c>
      <c r="D75" s="70" t="n">
        <v>1</v>
      </c>
      <c r="E75" s="65" t="inlineStr">
        <is>
          <t>X</t>
        </is>
      </c>
      <c r="F75" s="70" t="n">
        <v>1</v>
      </c>
      <c r="G75" s="63" t="inlineStr">
        <is>
          <t>Uzbequistão</t>
        </is>
      </c>
      <c r="H75" s="66" t="n">
        <v>46200</v>
      </c>
      <c r="I75" s="67">
        <f>H75</f>
        <v/>
      </c>
      <c r="J75" s="68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62" t="n">
        <v>72</v>
      </c>
      <c r="B76" s="62" t="inlineStr">
        <is>
          <t>K</t>
        </is>
      </c>
      <c r="C76" s="63" t="inlineStr">
        <is>
          <t>Colômbia</t>
        </is>
      </c>
      <c r="D76" s="70" t="n">
        <v>0</v>
      </c>
      <c r="E76" s="65" t="inlineStr">
        <is>
          <t>X</t>
        </is>
      </c>
      <c r="F76" s="70" t="n">
        <v>1</v>
      </c>
      <c r="G76" s="63" t="inlineStr">
        <is>
          <t>Portugal</t>
        </is>
      </c>
      <c r="H76" s="66" t="n">
        <v>46200</v>
      </c>
      <c r="I76" s="67">
        <f>H76</f>
        <v/>
      </c>
      <c r="J76" s="68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E78" t="inlineStr">
        <is>
          <t>X</t>
        </is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E79" t="inlineStr">
        <is>
          <t>X</t>
        </is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E80" t="inlineStr">
        <is>
          <t>X</t>
        </is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E81" t="inlineStr">
        <is>
          <t>X</t>
        </is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E82" t="inlineStr">
        <is>
          <t>X</t>
        </is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E83" t="inlineStr">
        <is>
          <t>X</t>
        </is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E84" t="inlineStr">
        <is>
          <t>X</t>
        </is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E85" t="inlineStr">
        <is>
          <t>X</t>
        </is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E86" t="inlineStr">
        <is>
          <t>X</t>
        </is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E87" t="inlineStr">
        <is>
          <t>X</t>
        </is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E88" t="inlineStr">
        <is>
          <t>X</t>
        </is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E89" t="inlineStr">
        <is>
          <t>X</t>
        </is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E90" t="inlineStr">
        <is>
          <t>X</t>
        </is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E91" t="inlineStr">
        <is>
          <t>X</t>
        </is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E92" t="inlineStr">
        <is>
          <t>X</t>
        </is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0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E93" t="inlineStr">
        <is>
          <t>X</t>
        </is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E94" t="inlineStr">
        <is>
          <t>X</t>
        </is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E95" t="inlineStr">
        <is>
          <t>X</t>
        </is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E96" t="inlineStr">
        <is>
          <t>X</t>
        </is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E97" t="inlineStr">
        <is>
          <t>X</t>
        </is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E98" t="inlineStr">
        <is>
          <t>X</t>
        </is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E99" t="inlineStr">
        <is>
          <t>X</t>
        </is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2" zoomScaleNormal="100" workbookViewId="0">
      <selection activeCell="D50" sqref="D50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3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2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0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2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2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2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0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2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3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3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3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4" zoomScaleNormal="100" workbookViewId="0">
      <selection activeCell="D52" sqref="D52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2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2</v>
      </c>
      <c r="E48" s="14" t="inlineStr">
        <is>
          <t>X</t>
        </is>
      </c>
      <c r="F48" s="13" t="n">
        <v>3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3</v>
      </c>
      <c r="E69" s="14" t="inlineStr">
        <is>
          <t>X</t>
        </is>
      </c>
      <c r="F69" s="13" t="n">
        <v>2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5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2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0</v>
      </c>
      <c r="E96" t="inlineStr">
        <is>
          <t>X</t>
        </is>
      </c>
      <c r="F96" t="n">
        <v>0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0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1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3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3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2" workbookViewId="0">
      <selection activeCell="K5" sqref="K5:K76"/>
    </sheetView>
  </sheetViews>
  <sheetFormatPr baseColWidth="8" defaultRowHeight="12.75"/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2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1</v>
      </c>
      <c r="E22" s="33" t="inlineStr">
        <is>
          <t>X</t>
        </is>
      </c>
      <c r="F22" s="41" t="n">
        <v>3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1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3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0</v>
      </c>
      <c r="E27" s="33" t="inlineStr">
        <is>
          <t>X</t>
        </is>
      </c>
      <c r="F27" s="41" t="n">
        <v>0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1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1</v>
      </c>
      <c r="E29" s="33" t="inlineStr">
        <is>
          <t>X</t>
        </is>
      </c>
      <c r="F29" s="41" t="n">
        <v>2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0</v>
      </c>
      <c r="E30" s="33" t="inlineStr">
        <is>
          <t>X</t>
        </is>
      </c>
      <c r="F30" s="41" t="n">
        <v>3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3</v>
      </c>
      <c r="E32" s="33" t="inlineStr">
        <is>
          <t>X</t>
        </is>
      </c>
      <c r="F32" s="41" t="n">
        <v>1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0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3</v>
      </c>
      <c r="E34" s="33" t="inlineStr">
        <is>
          <t>X</t>
        </is>
      </c>
      <c r="F34" s="41" t="n">
        <v>2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3</v>
      </c>
      <c r="E35" s="33" t="inlineStr">
        <is>
          <t>X</t>
        </is>
      </c>
      <c r="F35" s="41" t="n">
        <v>2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2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3</v>
      </c>
      <c r="E37" s="33" t="inlineStr">
        <is>
          <t>X</t>
        </is>
      </c>
      <c r="F37" s="41" t="n">
        <v>3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0</v>
      </c>
      <c r="E38" s="33" t="inlineStr">
        <is>
          <t>X</t>
        </is>
      </c>
      <c r="F38" s="41" t="n">
        <v>2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3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3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1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1</v>
      </c>
      <c r="E42" s="33" t="inlineStr">
        <is>
          <t>X</t>
        </is>
      </c>
      <c r="F42" s="41" t="n">
        <v>3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1</v>
      </c>
      <c r="E43" s="33" t="inlineStr">
        <is>
          <t>X</t>
        </is>
      </c>
      <c r="F43" s="41" t="n">
        <v>2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2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2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1</v>
      </c>
      <c r="E47" s="33" t="inlineStr">
        <is>
          <t>X</t>
        </is>
      </c>
      <c r="F47" s="41" t="n">
        <v>3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0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1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0</v>
      </c>
      <c r="E50" s="33" t="inlineStr">
        <is>
          <t>X</t>
        </is>
      </c>
      <c r="F50" s="41" t="n">
        <v>1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0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1</v>
      </c>
      <c r="E52" s="33" t="inlineStr">
        <is>
          <t>X</t>
        </is>
      </c>
      <c r="F52" s="41" t="n">
        <v>3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0</v>
      </c>
      <c r="E53" s="33" t="inlineStr">
        <is>
          <t>X</t>
        </is>
      </c>
      <c r="F53" s="41" t="n">
        <v>3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2</v>
      </c>
      <c r="E54" s="33" t="inlineStr">
        <is>
          <t>X</t>
        </is>
      </c>
      <c r="F54" s="41" t="n">
        <v>0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0</v>
      </c>
      <c r="E55" s="33" t="inlineStr">
        <is>
          <t>X</t>
        </is>
      </c>
      <c r="F55" s="41" t="n">
        <v>0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1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2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2</v>
      </c>
      <c r="E58" s="33" t="inlineStr">
        <is>
          <t>X</t>
        </is>
      </c>
      <c r="F58" s="41" t="n">
        <v>3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2</v>
      </c>
      <c r="E59" s="33" t="inlineStr">
        <is>
          <t>X</t>
        </is>
      </c>
      <c r="F59" s="41" t="n">
        <v>0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3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3</v>
      </c>
      <c r="E62" s="33" t="inlineStr">
        <is>
          <t>X</t>
        </is>
      </c>
      <c r="F62" s="41" t="n">
        <v>0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3</v>
      </c>
      <c r="E63" s="33" t="inlineStr">
        <is>
          <t>X</t>
        </is>
      </c>
      <c r="F63" s="41" t="n">
        <v>1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1</v>
      </c>
      <c r="E64" s="33" t="inlineStr">
        <is>
          <t>X</t>
        </is>
      </c>
      <c r="F64" s="41" t="n">
        <v>0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2</v>
      </c>
      <c r="E65" s="33" t="inlineStr">
        <is>
          <t>X</t>
        </is>
      </c>
      <c r="F65" s="41" t="n">
        <v>1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3</v>
      </c>
      <c r="E66" s="33" t="inlineStr">
        <is>
          <t>X</t>
        </is>
      </c>
      <c r="F66" s="41" t="n">
        <v>2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0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0</v>
      </c>
      <c r="E68" s="33" t="inlineStr">
        <is>
          <t>X</t>
        </is>
      </c>
      <c r="F68" s="41" t="n">
        <v>3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0</v>
      </c>
      <c r="E69" s="33" t="inlineStr">
        <is>
          <t>X</t>
        </is>
      </c>
      <c r="F69" s="41" t="n">
        <v>2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3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3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2</v>
      </c>
      <c r="E72" s="33" t="inlineStr">
        <is>
          <t>X</t>
        </is>
      </c>
      <c r="F72" s="41" t="n">
        <v>1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3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3</v>
      </c>
      <c r="E74" s="33" t="inlineStr">
        <is>
          <t>X</t>
        </is>
      </c>
      <c r="F74" s="41" t="n">
        <v>2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0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3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3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1</v>
      </c>
      <c r="E84" t="inlineStr">
        <is>
          <t>X</t>
        </is>
      </c>
      <c r="F84" t="n">
        <v>2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0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3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2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0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8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4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4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3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D5:P24"/>
  <sheetViews>
    <sheetView showGridLines="0" topLeftCell="A3" zoomScaleNormal="100" workbookViewId="0">
      <selection activeCell="E16" sqref="E16"/>
    </sheetView>
  </sheetViews>
  <sheetFormatPr baseColWidth="8" defaultColWidth="8.7109375" defaultRowHeight="12.75"/>
  <cols>
    <col width="8.7109375" customWidth="1" style="31" min="1" max="3"/>
    <col width="12.42578125" customWidth="1" style="31" min="4" max="4"/>
    <col width="12.140625" bestFit="1" customWidth="1" style="31" min="5" max="5"/>
    <col width="11" customWidth="1" style="31" min="6" max="6"/>
    <col width="10.7109375" customWidth="1" style="31" min="7" max="8"/>
    <col width="11.28515625" customWidth="1" style="31" min="9" max="9"/>
    <col width="12.42578125" customWidth="1" style="31" min="10" max="10"/>
    <col width="12.28515625" customWidth="1" style="31" min="11" max="11"/>
    <col width="13.7109375" customWidth="1" style="31" min="12" max="12"/>
    <col width="12.5703125" customWidth="1" style="31" min="13" max="13"/>
    <col width="11.7109375" customWidth="1" style="31" min="14" max="14"/>
    <col width="12.5703125" customWidth="1" style="31" min="15" max="16"/>
    <col width="8.7109375" customWidth="1" style="31" min="17" max="16384"/>
  </cols>
  <sheetData>
    <row r="5">
      <c r="D5" s="30" t="inlineStr">
        <is>
          <t>Beda</t>
        </is>
      </c>
      <c r="E5" s="30" t="inlineStr">
        <is>
          <t>Pedro</t>
        </is>
      </c>
      <c r="F5" s="30" t="inlineStr">
        <is>
          <t>Mauro</t>
        </is>
      </c>
      <c r="G5" s="30" t="inlineStr">
        <is>
          <t>Rodrigo</t>
        </is>
      </c>
      <c r="H5" s="30" t="inlineStr">
        <is>
          <t>Paulo</t>
        </is>
      </c>
      <c r="I5" s="30" t="inlineStr">
        <is>
          <t>Su</t>
        </is>
      </c>
      <c r="J5" s="30" t="inlineStr">
        <is>
          <t>Biral</t>
        </is>
      </c>
      <c r="K5" s="30" t="inlineStr">
        <is>
          <t>Mané</t>
        </is>
      </c>
      <c r="L5" s="30" t="inlineStr">
        <is>
          <t>Romanelli</t>
        </is>
      </c>
      <c r="M5" s="30" t="inlineStr">
        <is>
          <t>AH</t>
        </is>
      </c>
      <c r="N5" s="30" t="inlineStr">
        <is>
          <t>Caio</t>
        </is>
      </c>
      <c r="O5" s="30" t="inlineStr">
        <is>
          <t>Camps</t>
        </is>
      </c>
      <c r="P5" s="30" t="inlineStr">
        <is>
          <t>Kim</t>
        </is>
      </c>
    </row>
    <row r="6">
      <c r="D6" s="30">
        <f>SUM(Beda!K5:K108)</f>
        <v/>
      </c>
      <c r="E6" s="30">
        <f>SUM(Pedro!K5:K108)</f>
        <v/>
      </c>
      <c r="F6" s="30">
        <f>SUM(Mauro!K5:K108)</f>
        <v/>
      </c>
      <c r="G6" s="30">
        <f>SUM(Rodrigo!K5:K108)</f>
        <v/>
      </c>
      <c r="H6" s="30">
        <f>SUM(Paulo!K5:K108)</f>
        <v/>
      </c>
      <c r="I6" s="30">
        <f>SUM(Su!K5:K108)</f>
        <v/>
      </c>
      <c r="J6" s="30">
        <f>SUM(Biral!K5:K108)</f>
        <v/>
      </c>
      <c r="K6" s="30">
        <f>SUM(Mané!K5:K108)</f>
        <v/>
      </c>
      <c r="L6" s="30">
        <f>SUM(Romanelli!K5:K108)</f>
        <v/>
      </c>
      <c r="M6" s="30">
        <f>SUM(AH!K5:K108)</f>
        <v/>
      </c>
      <c r="N6" s="30">
        <f>SUM(Caio!K5:K108)+10</f>
        <v/>
      </c>
      <c r="O6" s="30">
        <f>SUM('Camps '!K5:K108)+10</f>
        <v/>
      </c>
      <c r="P6" s="30">
        <f>SUM(Kim!K5:K108)+10</f>
        <v/>
      </c>
    </row>
    <row r="11" ht="15" customHeight="1">
      <c r="D11" s="32" t="inlineStr">
        <is>
          <t>Participantes</t>
        </is>
      </c>
      <c r="E11" s="32" t="inlineStr">
        <is>
          <t>Pontuação</t>
        </is>
      </c>
    </row>
    <row r="12">
      <c r="D12" s="30" t="inlineStr">
        <is>
          <t>Beda</t>
        </is>
      </c>
      <c r="E12" s="30">
        <f>SUM('Beda'!K5:K108)</f>
        <v/>
      </c>
    </row>
    <row r="13">
      <c r="D13" s="30" t="inlineStr">
        <is>
          <t>Rodrigo</t>
        </is>
      </c>
      <c r="E13" s="30">
        <f>SUM('Rodrigo'!K5:K108)</f>
        <v/>
      </c>
    </row>
    <row r="14">
      <c r="D14" s="30" t="inlineStr">
        <is>
          <t>AH</t>
        </is>
      </c>
      <c r="E14" s="30">
        <f>SUM('AH'!K5:K108)</f>
        <v/>
      </c>
    </row>
    <row r="15">
      <c r="D15" s="30" t="inlineStr">
        <is>
          <t>Romanelli</t>
        </is>
      </c>
      <c r="E15" s="30">
        <f>SUM('Romanelli'!K5:K108)</f>
        <v/>
      </c>
    </row>
    <row r="16">
      <c r="D16" s="30" t="inlineStr">
        <is>
          <t>Su</t>
        </is>
      </c>
      <c r="E16" s="30">
        <f>SUM('Su'!K5:K108)</f>
        <v/>
      </c>
    </row>
    <row r="17">
      <c r="D17" s="30" t="inlineStr">
        <is>
          <t>Caio</t>
        </is>
      </c>
      <c r="E17" s="30">
        <f>SUM('Caio'!K5:K108)+10</f>
        <v/>
      </c>
    </row>
    <row r="18">
      <c r="D18" s="30" t="inlineStr">
        <is>
          <t>Pedro</t>
        </is>
      </c>
      <c r="E18" s="30">
        <f>SUM('Pedro'!K5:K108)</f>
        <v/>
      </c>
    </row>
    <row r="19">
      <c r="D19" s="30" t="inlineStr">
        <is>
          <t>Mané</t>
        </is>
      </c>
      <c r="E19" s="30">
        <f>SUM('Mané'!K5:K108)</f>
        <v/>
      </c>
    </row>
    <row r="20">
      <c r="D20" s="30" t="inlineStr">
        <is>
          <t>Mauro</t>
        </is>
      </c>
      <c r="E20" s="30">
        <f>SUM('Mauro'!K5:K108)</f>
        <v/>
      </c>
    </row>
    <row r="21">
      <c r="D21" s="30" t="inlineStr">
        <is>
          <t>Biral</t>
        </is>
      </c>
      <c r="E21" s="30">
        <f>SUM('Biral'!K5:K108)</f>
        <v/>
      </c>
    </row>
    <row r="22">
      <c r="D22" s="30" t="inlineStr">
        <is>
          <t>Paulo</t>
        </is>
      </c>
      <c r="E22" s="30">
        <f>SUM('Paulo'!K5:K108)</f>
        <v/>
      </c>
    </row>
    <row r="23">
      <c r="D23" s="30" t="inlineStr">
        <is>
          <t>Kim</t>
        </is>
      </c>
      <c r="E23" s="30">
        <f>SUM('Kim'!K5:K108)+10</f>
        <v/>
      </c>
    </row>
    <row r="24">
      <c r="D24" s="30" t="inlineStr">
        <is>
          <t>Camps</t>
        </is>
      </c>
      <c r="E24" s="30">
        <f>SUM('Camps '!K5:K108)+10</f>
        <v/>
      </c>
    </row>
  </sheetData>
  <autoFilter ref="D11:E11">
    <sortState ref="D12:E24">
      <sortCondition descending="1" ref="E11"/>
    </sortState>
  </autoFilter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47"/>
  <sheetViews>
    <sheetView topLeftCell="A8" zoomScaleNormal="100" workbookViewId="0">
      <selection activeCell="C19" sqref="C19"/>
    </sheetView>
  </sheetViews>
  <sheetFormatPr baseColWidth="8" defaultColWidth="8.7109375" defaultRowHeight="12.75"/>
  <sheetData>
    <row r="1" ht="15" customHeight="1">
      <c r="A1" s="26" t="inlineStr">
        <is>
          <t>- Rateio do prêmio:</t>
        </is>
      </c>
    </row>
    <row r="2" ht="15" customHeight="1">
      <c r="A2" s="27" t="inlineStr">
        <is>
          <t xml:space="preserve">            1a. Colocação: 50% do total arrecadado</t>
        </is>
      </c>
    </row>
    <row r="3" ht="15" customHeight="1">
      <c r="A3" s="27" t="inlineStr">
        <is>
          <t xml:space="preserve">            2a. Colocação: 30% do total arrecadado</t>
        </is>
      </c>
    </row>
    <row r="4" ht="15" customHeight="1">
      <c r="A4" s="27" t="inlineStr">
        <is>
          <t xml:space="preserve">            3a. Colocação: 20% do total arrecadado</t>
        </is>
      </c>
    </row>
    <row r="5" ht="15" customHeight="1">
      <c r="A5" s="27" t="n"/>
    </row>
    <row r="6" ht="15" customHeight="1">
      <c r="A6" s="27" t="inlineStr">
        <is>
          <t>- havendo empate de apostadores/participantes em cada uma das colocações, o valor de cada prêmio será dividido em partes iguais aos "empatados". Exemplo: 3 apostadores empataram em pontos ao final da primeira fase e ficaram juntos na 1a. Colocação. Os 50% serão divididos em partes iguais. O mesmo é válido se houver empate de apostadores na 2a. e 3a. colocações.</t>
        </is>
      </c>
    </row>
    <row r="7" ht="15" customHeight="1">
      <c r="A7" s="27" t="n"/>
    </row>
    <row r="8" ht="15" customHeight="1">
      <c r="A8" s="26" t="inlineStr">
        <is>
          <t>- Pontuação:</t>
        </is>
      </c>
    </row>
    <row r="9" ht="15" customHeight="1">
      <c r="A9" s="27" t="inlineStr">
        <is>
          <t>Como prometido ao final da Copa 2018, esse ano pela primeira vez teremos regras que pontuarão mais, e deixarão os acúmulos de pontos mais dinâmicos, dando maiores chances de pontuar "mesmo não acertando o resultado cheio".</t>
        </is>
      </c>
    </row>
    <row r="10" ht="15" customHeight="1">
      <c r="A10" s="28" t="n"/>
    </row>
    <row r="11" ht="15.75" customHeight="1">
      <c r="A11" s="29" t="inlineStr">
        <is>
          <t xml:space="preserve">Regra A - jogos acertando os resultados das partidas = + 2 pontos </t>
        </is>
      </c>
    </row>
    <row r="12" ht="15" customHeight="1">
      <c r="A12" s="27" t="inlineStr">
        <is>
          <t xml:space="preserve">            Exemplo: quem apostou na vitória do México contra a África do Sul, e México venceu o jogo (independente de placar), marca 2 pontos.</t>
        </is>
      </c>
    </row>
    <row r="13" ht="15" customHeight="1">
      <c r="A13" s="27" t="inlineStr">
        <is>
          <t xml:space="preserve">            Exemplo: quem apostou no empate entre Canadá e Bósnia, e deu empate (independente do placar), marca 2 pontos.</t>
        </is>
      </c>
    </row>
    <row r="14" ht="15" customHeight="1">
      <c r="A14" s="28" t="n"/>
    </row>
    <row r="15" ht="15.75" customHeight="1">
      <c r="A15" s="29" t="inlineStr">
        <is>
          <t>Regra B - jogos acertando o número de gols do "time A" = + 1 ponto</t>
        </is>
      </c>
    </row>
    <row r="16" ht="15.75" customHeight="1">
      <c r="A16" s="27" t="inlineStr">
        <is>
          <t xml:space="preserve">              - jogos acertando o número de gols do "time B" = + 1 ponto </t>
        </is>
      </c>
    </row>
    <row r="17" ht="15" customHeight="1">
      <c r="A17" s="27" t="inlineStr">
        <is>
          <t xml:space="preserve">            Exemplo: resultado final oficial do Jogo = México 4 x 2 África do Sul </t>
        </is>
      </c>
    </row>
    <row r="18" ht="15" customHeight="1">
      <c r="A18" s="27" t="inlineStr">
        <is>
          <t xml:space="preserve">                   Aposta: México 4 x 2 África do Sul = marca 2 pontos extras (mais os 2 pontos da regra A)</t>
        </is>
      </c>
    </row>
    <row r="19" ht="15" customHeight="1">
      <c r="A19" s="27" t="inlineStr">
        <is>
          <t xml:space="preserve">                   Aposta: México 4 x 0 África do Sul = marca 1 ponto extra (mais os 2 pontos da regra A)</t>
        </is>
      </c>
    </row>
    <row r="20" ht="15" customHeight="1">
      <c r="A20" s="27" t="inlineStr">
        <is>
          <t xml:space="preserve">                   Aposta: México 0 x 2 África do Sul = marca 1 ponto (sem marcar os pontos da regra A)</t>
        </is>
      </c>
    </row>
    <row r="21" ht="15" customHeight="1">
      <c r="A21" s="27" t="inlineStr">
        <is>
          <t xml:space="preserve">                   Aposta: México 2 x 2 África do Sul = marca 1 ponto (sem marcar os pontos da regra A)</t>
        </is>
      </c>
    </row>
    <row r="22" ht="15" customHeight="1">
      <c r="A22" s="27" t="inlineStr">
        <is>
          <t xml:space="preserve">                   Aposta: México 3 x 1 África do Sul = nenhum ponto extra, marcando só os 2 pontos da regra A.</t>
        </is>
      </c>
    </row>
    <row r="23" ht="15" customHeight="1">
      <c r="A23" s="27" t="inlineStr">
        <is>
          <t>Mesmos raciocínios em caso de Empates.</t>
        </is>
      </c>
    </row>
    <row r="24" ht="15" customHeight="1">
      <c r="A24" s="28" t="n"/>
    </row>
    <row r="25" ht="15.75" customHeight="1">
      <c r="A25" s="29" t="inlineStr">
        <is>
          <t>Regra C - jogos acertando o número total de gols da partida = + 1 ponto</t>
        </is>
      </c>
    </row>
    <row r="26" ht="15" customHeight="1">
      <c r="A26" s="27" t="inlineStr">
        <is>
          <t xml:space="preserve">            Exemplo: resultado final oficial do Jogo = México 4 x 2 África do Sul = SOMATÓRIA: 6 GOLS</t>
        </is>
      </c>
    </row>
    <row r="27" ht="15" customHeight="1">
      <c r="A27" s="27" t="inlineStr">
        <is>
          <t xml:space="preserve">                   Aposta: México 4 x 2 África do Sul = marca + 1 ponto extra (mais os 2 pontos da regra A, mais os 2 pontos da regra B)</t>
        </is>
      </c>
    </row>
    <row r="28" ht="15" customHeight="1">
      <c r="A28" s="27" t="inlineStr">
        <is>
          <t xml:space="preserve">                   Aposta: México 5 x 1 África do Sul = total 6 = marca 1 ponto extra regra C</t>
        </is>
      </c>
    </row>
    <row r="29" ht="15" customHeight="1">
      <c r="A29" s="27" t="inlineStr">
        <is>
          <t xml:space="preserve">                   Aposta: México 3 x 3 África do Sul = total 6 = marca 1 ponto regra C</t>
        </is>
      </c>
    </row>
    <row r="30" ht="15" customHeight="1">
      <c r="A30" s="27" t="inlineStr">
        <is>
          <t xml:space="preserve">                   Aposta: México 2 x 4 África do Sul = total 6 = marca 1 ponto regra C</t>
        </is>
      </c>
    </row>
    <row r="31" ht="15" customHeight="1">
      <c r="A31" s="27" t="inlineStr">
        <is>
          <t xml:space="preserve">                   Aposta: México 5 x 0 África do Sul = nenhum ponto extra da regra C.</t>
        </is>
      </c>
    </row>
    <row r="32" ht="15" customHeight="1">
      <c r="A32" s="27" t="inlineStr">
        <is>
          <t>Mesmos raciocínios em caso de Empates.</t>
        </is>
      </c>
    </row>
    <row r="33" ht="15" customHeight="1">
      <c r="A33" s="28" t="n"/>
    </row>
    <row r="34" ht="15" customHeight="1">
      <c r="A34" s="26" t="inlineStr">
        <is>
          <t>- Apostas e acompanhamento de resultados:</t>
        </is>
      </c>
    </row>
    <row r="35" ht="15" customHeight="1">
      <c r="A35" s="27" t="inlineStr">
        <is>
          <t>Todas as apostas serão divulgadas a todos os participantes. As apostas de cada um dos 72 jogos de cada participante serão visíveis a todos os outros apostadores, inclusive e principalmente as minhas e de meus familiares. Encaminharei ao email de todos, um dia antes do início da Copa, ou seja, dia 10/Junho, o arquivo completo contendo todas elas.</t>
        </is>
      </c>
    </row>
    <row r="36" ht="15" customHeight="1">
      <c r="A36" s="27" t="inlineStr">
        <is>
          <t>Atualizarei o arquivo com a pontuação individual e a classificação/ranking coletiva após cada término de rodada, e enviarei a todos via email.</t>
        </is>
      </c>
    </row>
    <row r="37" ht="15" customHeight="1">
      <c r="A37" s="27" t="n"/>
    </row>
    <row r="38">
      <c r="A38" t="inlineStr">
        <is>
          <t>- Mata-mata (fase eliminatoria) - penaltis e empates:</t>
        </is>
      </c>
    </row>
    <row r="39">
      <c r="A39" t="inlineStr">
        <is>
          <t>Vale o placar ate o fim da prorrogacao (120 min). Os penaltis NAO contam como gols.</t>
        </is>
      </c>
    </row>
    <row r="40">
      <c r="A40" t="inlineStr">
        <is>
          <t>Os 2 pontos do resultado (Regra A) vao para quem ACERTOU o empate dos 120 min OU para quem apontou o time que se CLASSIFICOU nos penaltis.</t>
        </is>
      </c>
    </row>
    <row r="41">
      <c r="A41" t="inlineStr">
        <is>
          <t>Assim, apostar empate pode valer os 5 pontos (Regras A+B+C), igual a fase de grupos - desde que crave o placar.</t>
        </is>
      </c>
    </row>
    <row r="42">
      <c r="A42" t="inlineStr">
        <is>
          <t>Exemplo: jogo 1x1 nos 120 min, classifica o time B nos penaltis:</t>
        </is>
      </c>
    </row>
    <row r="43">
      <c r="A43" t="inlineStr">
        <is>
          <t xml:space="preserve">      Aposta 1x1 = 5 pontos (cravou o empate).</t>
        </is>
      </c>
    </row>
    <row r="44">
      <c r="A44" t="inlineStr">
        <is>
          <t xml:space="preserve">      Aposta 2x2 = 2 pontos (acertou que ia empatar, errou o placar).</t>
        </is>
      </c>
    </row>
    <row r="45">
      <c r="A45" t="inlineStr">
        <is>
          <t xml:space="preserve">      Aposta vitoria do time B (ex.: 0x1) = 2 pontos (apontou quem passou).</t>
        </is>
      </c>
    </row>
    <row r="46">
      <c r="A46" t="inlineStr">
        <is>
          <t xml:space="preserve">      Aposta vitoria do time A = 0 no resultado (Regras B e C ainda valem pelo placar).</t>
        </is>
      </c>
    </row>
    <row r="47">
      <c r="A47" t="inlineStr">
        <is>
          <t>(Atualizacao de 01/07/2026: antes, apostar empate no mata-mata nao marcava os 2 pontos do resultado; agora marca.)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Jose G. Sobrinho</dc:creator>
  <dc:language>en-US</dc:language>
  <dcterms:created xsi:type="dcterms:W3CDTF">1998-05-21T14:53:42Z</dcterms:created>
  <dcterms:modified xsi:type="dcterms:W3CDTF">2026-07-31T19:55:07Z</dcterms:modified>
  <cp:lastModifiedBy>Pedro Ayroza Hassun</cp:lastModifiedBy>
  <cp:revision>0</cp:revision>
  <cp:lastPrinted>2014-06-08T22:01:29Z</cp:lastPrinted>
</cp:coreProperties>
</file>