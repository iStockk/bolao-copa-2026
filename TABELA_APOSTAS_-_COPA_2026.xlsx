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0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4</v>
      </c>
      <c r="E107" t="inlineStr">
        <is>
          <t>X</t>
        </is>
      </c>
      <c r="F107" t="n">
        <v>6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0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3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1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0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1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1</v>
      </c>
      <c r="E108" t="inlineStr">
        <is>
          <t>X</t>
        </is>
      </c>
      <c r="F108" t="n">
        <v>2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3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1</v>
      </c>
      <c r="E105" t="inlineStr">
        <is>
          <t>X</t>
        </is>
      </c>
      <c r="F105" t="n">
        <v>2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3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3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D105" t="n">
        <v>2</v>
      </c>
      <c r="E105" t="inlineStr">
        <is>
          <t>X</t>
        </is>
      </c>
      <c r="F105" t="n">
        <v>1</v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D106" t="n">
        <v>2</v>
      </c>
      <c r="E106" t="inlineStr">
        <is>
          <t>X</t>
        </is>
      </c>
      <c r="F106" t="n">
        <v>2</v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D107" t="n">
        <v>2</v>
      </c>
      <c r="E107" t="inlineStr">
        <is>
          <t>X</t>
        </is>
      </c>
      <c r="F107" t="n">
        <v>1</v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D108" t="n">
        <v>2</v>
      </c>
      <c r="E108" t="inlineStr">
        <is>
          <t>X</t>
        </is>
      </c>
      <c r="F108" t="n">
        <v>1</v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>
      <c r="A105" t="n">
        <v>101</v>
      </c>
      <c r="B105" t="inlineStr">
        <is>
          <t>SF</t>
        </is>
      </c>
      <c r="C105" t="inlineStr">
        <is>
          <t>França</t>
        </is>
      </c>
      <c r="E105" t="inlineStr">
        <is>
          <t>X</t>
        </is>
      </c>
      <c r="G105" t="inlineStr">
        <is>
          <t>Espanha</t>
        </is>
      </c>
      <c r="H105" t="inlineStr">
        <is>
          <t>2026-07-14</t>
        </is>
      </c>
      <c r="I105">
        <f>H105</f>
        <v/>
      </c>
      <c r="J105" t="inlineStr">
        <is>
          <t>16:00</t>
        </is>
      </c>
      <c r="K105">
        <f>IF(AND(ISNUMBER(D105),ISNUMBER(F105),ISNUMBER(Resultados!D105),ISNUMBER(Resultados!F105)),IF(SIGN(D105-F105)=SIGN(Resultados!D105-Resultados!F105),2,0)+IF(D105=Resultados!D105,1,0)+IF(F105=Resultados!F105,1,0)+IF(D105+F105=Resultados!D105+Resultados!F105,1,0),0)</f>
        <v/>
      </c>
    </row>
    <row r="106">
      <c r="A106" t="n">
        <v>102</v>
      </c>
      <c r="B106" t="inlineStr">
        <is>
          <t>SF</t>
        </is>
      </c>
      <c r="C106" t="inlineStr">
        <is>
          <t>Inglaterra</t>
        </is>
      </c>
      <c r="E106" t="inlineStr">
        <is>
          <t>X</t>
        </is>
      </c>
      <c r="G106" t="inlineStr">
        <is>
          <t>Argentina</t>
        </is>
      </c>
      <c r="H106" t="inlineStr">
        <is>
          <t>2026-07-15</t>
        </is>
      </c>
      <c r="I106">
        <f>H106</f>
        <v/>
      </c>
      <c r="J106" t="inlineStr">
        <is>
          <t>16:00</t>
        </is>
      </c>
      <c r="K106">
        <f>IF(AND(ISNUMBER(D106),ISNUMBER(F106),ISNUMBER(Resultados!D106),ISNUMBER(Resultados!F106)),IF(SIGN(D106-F106)=SIGN(Resultados!D106-Resultados!F106),2,0)+IF(D106=Resultados!D106,1,0)+IF(F106=Resultados!F106,1,0)+IF(D106+F106=Resultados!D106+Resultados!F106,1,0),0)</f>
        <v/>
      </c>
    </row>
    <row r="107">
      <c r="A107" t="n">
        <v>103</v>
      </c>
      <c r="B107" t="inlineStr">
        <is>
          <t>3º Lugar</t>
        </is>
      </c>
      <c r="C107" t="inlineStr">
        <is>
          <t>França</t>
        </is>
      </c>
      <c r="E107" t="inlineStr">
        <is>
          <t>X</t>
        </is>
      </c>
      <c r="G107" t="inlineStr">
        <is>
          <t>Inglaterra</t>
        </is>
      </c>
      <c r="H107" t="inlineStr">
        <is>
          <t>2026-07-18</t>
        </is>
      </c>
      <c r="I107">
        <f>H107</f>
        <v/>
      </c>
      <c r="J107" t="inlineStr">
        <is>
          <t>18:00</t>
        </is>
      </c>
      <c r="K107">
        <f>IF(AND(ISNUMBER(D107),ISNUMBER(F107),ISNUMBER(Resultados!D107),ISNUMBER(Resultados!F107)),IF(SIGN(D107-F107)=SIGN(Resultados!D107-Resultados!F107),2,0)+IF(D107=Resultados!D107,1,0)+IF(F107=Resultados!F107,1,0)+IF(D107+F107=Resultados!D107+Resultados!F107,1,0),0)</f>
        <v/>
      </c>
    </row>
    <row r="108">
      <c r="A108" t="n">
        <v>104</v>
      </c>
      <c r="B108" t="inlineStr">
        <is>
          <t>Final</t>
        </is>
      </c>
      <c r="C108" t="inlineStr">
        <is>
          <t>Espanha</t>
        </is>
      </c>
      <c r="E108" t="inlineStr">
        <is>
          <t>X</t>
        </is>
      </c>
      <c r="G108" t="inlineStr">
        <is>
          <t>Argentina</t>
        </is>
      </c>
      <c r="H108" t="inlineStr">
        <is>
          <t>2026-07-19</t>
        </is>
      </c>
      <c r="I108">
        <f>H108</f>
        <v/>
      </c>
      <c r="J108" t="inlineStr">
        <is>
          <t>16:00</t>
        </is>
      </c>
      <c r="K108">
        <f>IF(AND(ISNUMBER(D108),ISNUMBER(F108),ISNUMBER(Resultados!D108),ISNUMBER(Resultados!F108)),IF(SIGN(D108-F108)=SIGN(Resultados!D108-Resultados!F108),2,0)+IF(D108=Resultados!D108,1,0)+IF(F108=Resultados!F108,1,0)+IF(D108+F108=Resultados!D108+Resultados!F108,1,0),0)</f>
        <v/>
      </c>
    </row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Rodrigo</t>
        </is>
      </c>
      <c r="E13" s="30">
        <f>SUM('Rodrigo'!K5:K108)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Biral</t>
        </is>
      </c>
      <c r="E21" s="30">
        <f>SUM('Biral'!K5:K108)</f>
        <v/>
      </c>
    </row>
    <row r="22">
      <c r="D22" s="30" t="inlineStr">
        <is>
          <t>Paulo</t>
        </is>
      </c>
      <c r="E22" s="30">
        <f>SUM('Paulo'!K5:K108)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2026-07-25T14:01:52Z</dcterms:modified>
  <cp:lastModifiedBy>Pedro Ayroza Hassun</cp:lastModifiedBy>
  <cp:revision>0</cp:revision>
  <cp:lastPrinted>2014-06-08T22:01:29Z</cp:lastPrinted>
</cp:coreProperties>
</file>