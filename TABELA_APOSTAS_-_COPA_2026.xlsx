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2" autoFilterDateGrouping="1"/>
  </bookViews>
  <sheets>
    <sheet name="Resultados" sheetId="1" state="visible" r:id="rId1"/>
    <sheet name="Beda" sheetId="2" state="visible" r:id="rId2"/>
    <sheet name="Pedro" sheetId="3" state="visible" r:id="rId3"/>
    <sheet name="Mauro" sheetId="4" state="visible" r:id="rId4"/>
    <sheet name="Rodrigo" sheetId="5" state="visible" r:id="rId5"/>
    <sheet name="Paulo" sheetId="6" state="visible" r:id="rId6"/>
    <sheet name="Su" sheetId="7" state="visible" r:id="rId7"/>
    <sheet name="Biral" sheetId="8" state="visible" r:id="rId8"/>
    <sheet name="Mané" sheetId="9" state="visible" r:id="rId9"/>
    <sheet name="Caio" sheetId="10" state="visible" r:id="rId10"/>
    <sheet name="Camps " sheetId="11" state="visible" r:id="rId11"/>
    <sheet name="Romanelli" sheetId="12" state="visible" r:id="rId12"/>
    <sheet name="AH" sheetId="13" state="visible" r:id="rId13"/>
    <sheet name="Kim" sheetId="14" state="visible" r:id="rId14"/>
    <sheet name="Total Pontos" sheetId="15" state="visible" r:id="rId15"/>
    <sheet name="Regras" sheetId="16" state="visible" r:id="rId16"/>
  </sheets>
  <definedNames>
    <definedName name="alex">#REF!</definedName>
    <definedName name="APURAÇÃO01">#REF!</definedName>
    <definedName name="denner">#REF!</definedName>
    <definedName name="joao">#REF!</definedName>
    <definedName name="lucci">#REF!</definedName>
    <definedName name="lucci_pai">#REF!</definedName>
    <definedName name="luiza">#REF!</definedName>
    <definedName name="manocchio">#REF!</definedName>
    <definedName name="marcao">#REF!</definedName>
    <definedName name="rampazzo">#REF!</definedName>
    <definedName name="stabelinni">#REF!</definedName>
    <definedName name="_xlnm._FilterDatabase" localSheetId="14" hidden="1">'Total Pontos'!$D$11:$E$11</definedName>
  </definedNames>
  <calcPr calcId="191029" fullCalcOnLoad="1" iterate="1"/>
</workbook>
</file>

<file path=xl/styles.xml><?xml version="1.0" encoding="utf-8"?>
<styleSheet xmlns="http://schemas.openxmlformats.org/spreadsheetml/2006/main">
  <numFmts count="4">
    <numFmt numFmtId="164" formatCode="&quot;R$ &quot;#,##0.00;[Red]&quot;-R$ &quot;#,##0.00"/>
    <numFmt numFmtId="165" formatCode="d\-mmm"/>
    <numFmt numFmtId="166" formatCode="ddd"/>
    <numFmt numFmtId="167" formatCode="&quot;R$&quot;\ #,##0.00;[Red]\-&quot;R$&quot;\ #,##0.00"/>
  </numFmts>
  <fonts count="35">
    <font>
      <name val="Arial"/>
      <charset val="1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rgb="FF008000"/>
      <sz val="16"/>
    </font>
    <font>
      <name val="Calibri"/>
      <charset val="1"/>
      <family val="2"/>
      <b val="1"/>
      <color rgb="FFFF0000"/>
      <sz val="14"/>
    </font>
    <font>
      <name val="Calibri"/>
      <charset val="1"/>
      <family val="2"/>
      <b val="1"/>
      <sz val="14"/>
    </font>
    <font>
      <name val="Arial"/>
      <charset val="1"/>
      <family val="2"/>
      <b val="1"/>
      <color theme="0" tint="-0.0499893185216834"/>
      <sz val="10"/>
    </font>
    <font>
      <name val="Arial"/>
      <charset val="1"/>
      <family val="2"/>
      <b val="1"/>
      <sz val="10"/>
    </font>
    <font>
      <name val="Calibri"/>
      <charset val="1"/>
      <family val="2"/>
      <b val="1"/>
      <color theme="1"/>
      <sz val="11"/>
    </font>
    <font>
      <name val="Verdana"/>
      <charset val="1"/>
      <family val="2"/>
      <sz val="10"/>
    </font>
    <font>
      <name val="Arial"/>
      <charset val="1"/>
      <family val="2"/>
      <b val="1"/>
      <color rgb="FF00B050"/>
      <sz val="10"/>
    </font>
    <font>
      <name val="Arial"/>
      <charset val="1"/>
      <color theme="10"/>
      <sz val="10"/>
      <u val="single"/>
    </font>
    <font>
      <name val="Arial"/>
      <charset val="1"/>
      <family val="2"/>
      <color rgb="FF0000FF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242424"/>
      <sz val="12"/>
    </font>
    <font>
      <name val="Arial"/>
      <charset val="1"/>
      <family val="2"/>
      <b val="1"/>
      <color rgb="FF000000"/>
      <sz val="12"/>
    </font>
    <font>
      <name val="Arial"/>
      <sz val="10"/>
    </font>
    <font>
      <name val="Arial"/>
      <family val="2"/>
      <sz val="10"/>
    </font>
    <font>
      <name val="Verdana"/>
      <family val="2"/>
      <sz val="10"/>
    </font>
    <font>
      <name val="Arial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 tint="-0.0499893185216834"/>
      <sz val="10"/>
    </font>
    <font>
      <name val="Arial"/>
      <family val="2"/>
      <b val="1"/>
      <color rgb="FF00B050"/>
      <sz val="10"/>
    </font>
    <font>
      <name val="Calibri"/>
      <family val="2"/>
      <b val="1"/>
      <color indexed="17"/>
      <sz val="16"/>
      <scheme val="minor"/>
    </font>
    <font>
      <name val="Calibri"/>
      <family val="2"/>
      <b val="1"/>
      <color indexed="10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FF0000"/>
      <sz val="14"/>
      <scheme val="minor"/>
    </font>
    <font>
      <name val="Arial"/>
      <b val="1"/>
      <sz val="10"/>
    </font>
    <font>
      <name val="Arial"/>
      <b val="1"/>
      <color rgb="FF0000FF"/>
      <sz val="10"/>
    </font>
    <font>
      <name val="Arial"/>
      <i val="1"/>
      <color rgb="FF404040"/>
      <sz val="10"/>
    </font>
    <font>
      <name val="Calibri"/>
      <family val="2"/>
      <sz val="14"/>
      <scheme val="minor"/>
    </font>
    <font>
      <name val="Arial"/>
      <family val="2"/>
      <color rgb="FFFF0000"/>
      <sz val="10"/>
    </font>
  </fonts>
  <fills count="20">
    <fill>
      <patternFill/>
    </fill>
    <fill>
      <patternFill patternType="gray125"/>
    </fill>
    <fill>
      <patternFill patternType="solid">
        <fgColor theme="0" tint="-0.1499984740745262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9" tint="0.7998901333658864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theme="5" tint="0.5998718222602009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theme="8" tint="0.3998840296639912"/>
        <bgColor rgb="FF969696"/>
      </patternFill>
    </fill>
    <fill>
      <patternFill patternType="solid">
        <fgColor theme="8" tint="0.5998718222602009"/>
        <bgColor rgb="FF99CCFF"/>
      </patternFill>
    </fill>
    <fill>
      <patternFill patternType="solid">
        <fgColor theme="8" tint="0.7998901333658864"/>
        <bgColor rgb="FFD9D9D9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2">
    <xf numFmtId="0" fontId="0" fillId="0" borderId="0"/>
    <xf numFmtId="0" fontId="1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22" fillId="0" borderId="0"/>
    <xf numFmtId="0" fontId="18" fillId="0" borderId="0"/>
    <xf numFmtId="0" fontId="21" fillId="0" borderId="0"/>
    <xf numFmtId="0" fontId="22" fillId="0" borderId="0"/>
  </cellStyleXfs>
  <cellXfs count="121">
    <xf numFmtId="0" fontId="0" fillId="0" borderId="0" pivotButton="0" quotePrefix="0" xfId="0"/>
    <xf numFmtId="0" fontId="7" fillId="5" borderId="5" applyAlignment="1" pivotButton="0" quotePrefix="0" xfId="0">
      <alignment horizontal="center"/>
    </xf>
    <xf numFmtId="0" fontId="2" fillId="0" borderId="0" pivotButton="0" quotePrefix="0" xfId="0"/>
    <xf numFmtId="164" fontId="5" fillId="3" borderId="3" applyAlignment="1" pivotButton="0" quotePrefix="0" xfId="0">
      <alignment horizontal="left"/>
    </xf>
    <xf numFmtId="0" fontId="5" fillId="4" borderId="4" pivotButton="0" quotePrefix="0" xfId="0"/>
    <xf numFmtId="0" fontId="5" fillId="4" borderId="1" pivotButton="0" quotePrefix="0" xfId="0"/>
    <xf numFmtId="0" fontId="7" fillId="5" borderId="5" pivotButton="0" quotePrefix="0" xfId="0"/>
    <xf numFmtId="0" fontId="7" fillId="5" borderId="6" pivotButton="0" quotePrefix="0" xfId="0"/>
    <xf numFmtId="0" fontId="7" fillId="5" borderId="6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8" fillId="6" borderId="8" pivotButton="0" quotePrefix="0" xfId="0"/>
    <xf numFmtId="0" fontId="2" fillId="0" borderId="8" applyAlignment="1" applyProtection="1" pivotButton="0" quotePrefix="0" xfId="0">
      <alignment horizontal="center"/>
      <protection locked="0" hidden="0"/>
    </xf>
    <xf numFmtId="0" fontId="8" fillId="7" borderId="8" applyAlignment="1" applyProtection="1" pivotButton="0" quotePrefix="0" xfId="0">
      <alignment horizontal="center"/>
      <protection locked="0" hidden="0"/>
    </xf>
    <xf numFmtId="165" fontId="9" fillId="8" borderId="8" applyAlignment="1" pivotButton="0" quotePrefix="0" xfId="0">
      <alignment horizontal="center"/>
    </xf>
    <xf numFmtId="166" fontId="10" fillId="9" borderId="8" applyAlignment="1" pivotButton="0" quotePrefix="0" xfId="0">
      <alignment horizontal="center"/>
    </xf>
    <xf numFmtId="20" fontId="0" fillId="10" borderId="8" applyAlignment="1" pivotButton="0" quotePrefix="0" xfId="0">
      <alignment horizontal="center"/>
    </xf>
    <xf numFmtId="0" fontId="11" fillId="3" borderId="8" pivotButton="0" quotePrefix="0" xfId="0"/>
    <xf numFmtId="0" fontId="6" fillId="4" borderId="4" pivotButton="0" quotePrefix="0" xfId="0"/>
    <xf numFmtId="0" fontId="8" fillId="2" borderId="8" pivotButton="0" quotePrefix="0" xfId="0"/>
    <xf numFmtId="0" fontId="2" fillId="2" borderId="8" applyAlignment="1" applyProtection="1" pivotButton="0" quotePrefix="0" xfId="0">
      <alignment horizontal="center"/>
      <protection locked="0" hidden="0"/>
    </xf>
    <xf numFmtId="0" fontId="8" fillId="2" borderId="8" applyAlignment="1" applyProtection="1" pivotButton="0" quotePrefix="0" xfId="0">
      <alignment horizontal="center"/>
      <protection locked="0" hidden="0"/>
    </xf>
    <xf numFmtId="165" fontId="9" fillId="2" borderId="8" applyAlignment="1" pivotButton="0" quotePrefix="0" xfId="0">
      <alignment horizontal="center"/>
    </xf>
    <xf numFmtId="166" fontId="10" fillId="2" borderId="8" applyAlignment="1" pivotButton="0" quotePrefix="0" xfId="0">
      <alignment horizontal="center"/>
    </xf>
    <xf numFmtId="20" fontId="0" fillId="2" borderId="8" applyAlignment="1" pivotButton="0" quotePrefix="0" xfId="0">
      <alignment horizont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0" fillId="11" borderId="8" applyAlignment="1" applyProtection="1" pivotButton="0" quotePrefix="0" xfId="7">
      <alignment horizontal="centerContinuous"/>
      <protection locked="0" hidden="0"/>
    </xf>
    <xf numFmtId="0" fontId="24" fillId="12" borderId="5" pivotButton="0" quotePrefix="0" xfId="7"/>
    <xf numFmtId="0" fontId="24" fillId="12" borderId="6" applyAlignment="1" pivotButton="0" quotePrefix="0" xfId="7">
      <alignment horizontal="centerContinuous"/>
    </xf>
    <xf numFmtId="0" fontId="24" fillId="12" borderId="0" applyAlignment="1" pivotButton="0" quotePrefix="0" xfId="7">
      <alignment horizontal="centerContinuous"/>
    </xf>
    <xf numFmtId="0" fontId="24" fillId="12" borderId="7" applyAlignment="1" pivotButton="0" quotePrefix="0" xfId="7">
      <alignment horizontal="centerContinuous"/>
    </xf>
    <xf numFmtId="0" fontId="24" fillId="12" borderId="5" applyAlignment="1" pivotButton="0" quotePrefix="0" xfId="7">
      <alignment horizontal="centerContinuous"/>
    </xf>
    <xf numFmtId="0" fontId="24" fillId="12" borderId="5" applyAlignment="1" pivotButton="0" quotePrefix="0" xfId="7">
      <alignment horizontal="center"/>
    </xf>
    <xf numFmtId="0" fontId="18" fillId="13" borderId="8" applyAlignment="1" pivotButton="0" quotePrefix="0" xfId="7">
      <alignment horizontal="center"/>
    </xf>
    <xf numFmtId="0" fontId="18" fillId="0" borderId="8" applyAlignment="1" applyProtection="1" pivotButton="0" quotePrefix="0" xfId="7">
      <alignment horizontal="center"/>
      <protection locked="0" hidden="0"/>
    </xf>
    <xf numFmtId="16" fontId="23" fillId="14" borderId="8" applyAlignment="1" pivotButton="0" quotePrefix="0" xfId="7">
      <alignment horizontal="center"/>
    </xf>
    <xf numFmtId="166" fontId="19" fillId="15" borderId="8" applyAlignment="1" pivotButton="0" quotePrefix="0" xfId="7">
      <alignment horizontal="center"/>
    </xf>
    <xf numFmtId="20" fontId="17" fillId="16" borderId="8" applyAlignment="1" pivotButton="0" quotePrefix="0" xfId="7">
      <alignment horizontal="center"/>
    </xf>
    <xf numFmtId="0" fontId="24" fillId="12" borderId="6" pivotButton="0" quotePrefix="0" xfId="7"/>
    <xf numFmtId="0" fontId="20" fillId="17" borderId="8" pivotButton="0" quotePrefix="0" xfId="7"/>
    <xf numFmtId="0" fontId="25" fillId="18" borderId="8" pivotButton="0" quotePrefix="0" xfId="7"/>
    <xf numFmtId="0" fontId="27" fillId="19" borderId="4" pivotButton="0" quotePrefix="0" xfId="7"/>
    <xf numFmtId="0" fontId="27" fillId="19" borderId="1" pivotButton="0" quotePrefix="0" xfId="7"/>
    <xf numFmtId="167" fontId="29" fillId="18" borderId="3" applyAlignment="1" pivotButton="0" quotePrefix="0" xfId="7">
      <alignment horizontal="left"/>
    </xf>
    <xf numFmtId="167" fontId="29" fillId="18" borderId="3" applyAlignment="1" pivotButton="0" quotePrefix="0" xfId="0">
      <alignment horizontal="left"/>
    </xf>
    <xf numFmtId="0" fontId="27" fillId="19" borderId="4" pivotButton="0" quotePrefix="0" xfId="0"/>
    <xf numFmtId="0" fontId="27" fillId="19" borderId="1" pivotButton="0" quotePrefix="0" xfId="0"/>
    <xf numFmtId="0" fontId="24" fillId="12" borderId="5" pivotButton="0" quotePrefix="0" xfId="0"/>
    <xf numFmtId="0" fontId="24" fillId="12" borderId="6" pivotButton="0" quotePrefix="0" xfId="0"/>
    <xf numFmtId="0" fontId="24" fillId="12" borderId="6" applyAlignment="1" pivotButton="0" quotePrefix="0" xfId="0">
      <alignment horizontal="centerContinuous"/>
    </xf>
    <xf numFmtId="0" fontId="30" fillId="12" borderId="0" applyAlignment="1" pivotButton="0" quotePrefix="0" xfId="0">
      <alignment horizontal="center" vertical="center"/>
    </xf>
    <xf numFmtId="0" fontId="24" fillId="12" borderId="0" applyAlignment="1" pivotButton="0" quotePrefix="0" xfId="0">
      <alignment horizontal="centerContinuous"/>
    </xf>
    <xf numFmtId="0" fontId="24" fillId="12" borderId="7" applyAlignment="1" pivotButton="0" quotePrefix="0" xfId="0">
      <alignment horizontal="centerContinuous"/>
    </xf>
    <xf numFmtId="0" fontId="24" fillId="12" borderId="5" applyAlignment="1" pivotButton="0" quotePrefix="0" xfId="0">
      <alignment horizontal="centerContinuous"/>
    </xf>
    <xf numFmtId="0" fontId="24" fillId="12" borderId="5" applyAlignment="1" pivotButton="0" quotePrefix="0" xfId="0">
      <alignment horizontal="center"/>
    </xf>
    <xf numFmtId="0" fontId="18" fillId="13" borderId="8" applyAlignment="1" pivotButton="0" quotePrefix="0" xfId="0">
      <alignment horizontal="center"/>
    </xf>
    <xf numFmtId="0" fontId="20" fillId="17" borderId="8" pivotButton="0" quotePrefix="0" xfId="0"/>
    <xf numFmtId="0" fontId="31" fillId="0" borderId="8" applyAlignment="1" applyProtection="1" pivotButton="0" quotePrefix="0" xfId="0">
      <alignment horizontal="center" vertical="center"/>
      <protection locked="0" hidden="0"/>
    </xf>
    <xf numFmtId="0" fontId="20" fillId="11" borderId="8" applyAlignment="1" applyProtection="1" pivotButton="0" quotePrefix="0" xfId="0">
      <alignment horizontal="centerContinuous"/>
      <protection locked="0" hidden="0"/>
    </xf>
    <xf numFmtId="16" fontId="23" fillId="14" borderId="8" applyAlignment="1" pivotButton="0" quotePrefix="0" xfId="0">
      <alignment horizontal="center"/>
    </xf>
    <xf numFmtId="166" fontId="19" fillId="15" borderId="8" applyAlignment="1" pivotButton="0" quotePrefix="0" xfId="0">
      <alignment horizontal="center"/>
    </xf>
    <xf numFmtId="20" fontId="0" fillId="16" borderId="8" applyAlignment="1" pivotButton="0" quotePrefix="0" xfId="0">
      <alignment horizontal="center"/>
    </xf>
    <xf numFmtId="0" fontId="25" fillId="18" borderId="8" pivotButton="0" quotePrefix="0" xfId="0"/>
    <xf numFmtId="0" fontId="32" fillId="0" borderId="8" applyAlignment="1" applyProtection="1" pivotButton="0" quotePrefix="0" xfId="0">
      <alignment horizontal="center" vertical="center"/>
      <protection locked="0" hidden="0"/>
    </xf>
    <xf numFmtId="0" fontId="18" fillId="0" borderId="0" pivotButton="0" quotePrefix="0" xfId="0"/>
    <xf numFmtId="0" fontId="8" fillId="0" borderId="0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11" fillId="0" borderId="0" pivotButton="0" quotePrefix="0" xfId="0"/>
    <xf numFmtId="0" fontId="7" fillId="5" borderId="5" applyAlignment="1" pivotButton="0" quotePrefix="0" xfId="0">
      <alignment horizontal="center"/>
    </xf>
    <xf numFmtId="0" fontId="4" fillId="2" borderId="1" pivotButton="0" quotePrefix="0" xfId="0"/>
    <xf numFmtId="0" fontId="5" fillId="0" borderId="2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5" fillId="4" borderId="1" applyAlignment="1" applyProtection="1" pivotButton="0" quotePrefix="0" xfId="0">
      <alignment horizontal="right"/>
      <protection locked="0" hidden="0"/>
    </xf>
    <xf numFmtId="0" fontId="6" fillId="0" borderId="1" applyProtection="1" pivotButton="0" quotePrefix="0" xfId="0">
      <protection locked="0" hidden="0"/>
    </xf>
    <xf numFmtId="0" fontId="12" fillId="0" borderId="1" applyProtection="1" pivotButton="0" quotePrefix="0" xfId="1">
      <protection locked="0" hidden="0"/>
    </xf>
    <xf numFmtId="0" fontId="6" fillId="0" borderId="1" pivotButton="0" quotePrefix="0" xfId="0"/>
    <xf numFmtId="0" fontId="29" fillId="0" borderId="2" applyAlignment="1" pivotButton="0" quotePrefix="0" xfId="7">
      <alignment horizontal="center"/>
    </xf>
    <xf numFmtId="0" fontId="17" fillId="0" borderId="9" pivotButton="0" quotePrefix="0" xfId="7"/>
    <xf numFmtId="0" fontId="28" fillId="0" borderId="1" applyProtection="1" pivotButton="0" quotePrefix="0" xfId="7">
      <protection locked="0" hidden="0"/>
    </xf>
    <xf numFmtId="0" fontId="17" fillId="0" borderId="9" applyProtection="1" pivotButton="0" quotePrefix="0" xfId="7">
      <protection locked="0" hidden="0"/>
    </xf>
    <xf numFmtId="0" fontId="17" fillId="0" borderId="3" applyProtection="1" pivotButton="0" quotePrefix="0" xfId="7">
      <protection locked="0" hidden="0"/>
    </xf>
    <xf numFmtId="0" fontId="27" fillId="0" borderId="1" applyAlignment="1" pivotButton="0" quotePrefix="0" xfId="7">
      <alignment horizontal="left"/>
    </xf>
    <xf numFmtId="0" fontId="17" fillId="0" borderId="3" pivotButton="0" quotePrefix="0" xfId="7"/>
    <xf numFmtId="0" fontId="26" fillId="13" borderId="1" pivotButton="0" quotePrefix="0" xfId="7"/>
    <xf numFmtId="0" fontId="29" fillId="19" borderId="1" applyAlignment="1" applyProtection="1" pivotButton="0" quotePrefix="0" xfId="7">
      <alignment horizontal="right"/>
      <protection locked="0" hidden="0"/>
    </xf>
    <xf numFmtId="0" fontId="27" fillId="0" borderId="1" pivotButton="0" quotePrefix="0" xfId="7"/>
    <xf numFmtId="0" fontId="26" fillId="13" borderId="1" pivotButton="0" quotePrefix="0" xfId="0"/>
    <xf numFmtId="0" fontId="0" fillId="0" borderId="9" pivotButton="0" quotePrefix="0" xfId="0"/>
    <xf numFmtId="0" fontId="0" fillId="0" borderId="3" pivotButton="0" quotePrefix="0" xfId="0"/>
    <xf numFmtId="0" fontId="29" fillId="0" borderId="2" applyAlignment="1" pivotButton="0" quotePrefix="0" xfId="0">
      <alignment horizontal="center"/>
    </xf>
    <xf numFmtId="0" fontId="27" fillId="0" borderId="1" pivotButton="0" quotePrefix="0" xfId="0"/>
    <xf numFmtId="0" fontId="27" fillId="0" borderId="1" applyAlignment="1" pivotButton="0" quotePrefix="0" xfId="0">
      <alignment horizontal="left"/>
    </xf>
    <xf numFmtId="0" fontId="29" fillId="19" borderId="1" applyAlignment="1" applyProtection="1" pivotButton="0" quotePrefix="0" xfId="0">
      <alignment horizontal="right"/>
      <protection locked="0" hidden="0"/>
    </xf>
    <xf numFmtId="0" fontId="0" fillId="0" borderId="9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8" fillId="0" borderId="1" applyProtection="1" pivotButton="0" quotePrefix="0" xfId="0">
      <protection locked="0" hidden="0"/>
    </xf>
    <xf numFmtId="0" fontId="27" fillId="0" borderId="2" applyAlignment="1" pivotButton="0" quotePrefix="0" xfId="7">
      <alignment horizontal="left"/>
    </xf>
    <xf numFmtId="0" fontId="33" fillId="0" borderId="3" applyAlignment="1" pivotButton="0" quotePrefix="0" xfId="7">
      <alignment horizontal="left"/>
    </xf>
    <xf numFmtId="0" fontId="28" fillId="0" borderId="2" applyProtection="1" pivotButton="0" quotePrefix="0" xfId="7">
      <protection locked="0" hidden="0"/>
    </xf>
    <xf numFmtId="0" fontId="27" fillId="0" borderId="2" pivotButton="0" quotePrefix="0" xfId="7"/>
    <xf numFmtId="0" fontId="29" fillId="19" borderId="2" applyAlignment="1" applyProtection="1" pivotButton="0" quotePrefix="0" xfId="7">
      <alignment horizontal="right"/>
      <protection locked="0" hidden="0"/>
    </xf>
    <xf numFmtId="0" fontId="34" fillId="0" borderId="9" applyAlignment="1" pivotButton="0" quotePrefix="0" xfId="7">
      <alignment horizontal="right"/>
    </xf>
    <xf numFmtId="0" fontId="34" fillId="0" borderId="3" applyAlignment="1" pivotButton="0" quotePrefix="0" xfId="7">
      <alignment horizontal="right"/>
    </xf>
    <xf numFmtId="0" fontId="26" fillId="13" borderId="2" pivotButton="0" quotePrefix="0" xfId="7"/>
    <xf numFmtId="0" fontId="17" fillId="0" borderId="9" applyAlignment="1" pivotButton="0" quotePrefix="0" xfId="7">
      <alignment horizontal="center"/>
    </xf>
    <xf numFmtId="0" fontId="0" fillId="0" borderId="12" pivotButton="0" quotePrefix="0" xfId="0"/>
    <xf numFmtId="0" fontId="0" fillId="0" borderId="12" applyProtection="1" pivotButton="0" quotePrefix="0" xfId="0">
      <protection locked="0" hidden="0"/>
    </xf>
    <xf numFmtId="0" fontId="0" fillId="0" borderId="7" pivotButton="0" quotePrefix="0" xfId="0"/>
    <xf numFmtId="20" fontId="0" fillId="10" borderId="8" applyAlignment="1" pivotButton="0" quotePrefix="0" xfId="0">
      <alignment horizontal="center"/>
    </xf>
    <xf numFmtId="20" fontId="0" fillId="2" borderId="8" applyAlignment="1" pivotButton="0" quotePrefix="0" xfId="0">
      <alignment horizontal="center"/>
    </xf>
    <xf numFmtId="167" fontId="29" fillId="18" borderId="3" applyAlignment="1" pivotButton="0" quotePrefix="0" xfId="7">
      <alignment horizontal="left"/>
    </xf>
    <xf numFmtId="167" fontId="29" fillId="18" borderId="3" applyAlignment="1" pivotButton="0" quotePrefix="0" xfId="0">
      <alignment horizontal="left"/>
    </xf>
  </cellXfs>
  <cellStyles count="12">
    <cellStyle name="Normal" xfId="0" builtinId="0"/>
    <cellStyle name="Hiperlink" xfId="1" builtinId="8"/>
    <cellStyle name="Hiperlink 2" xfId="2"/>
    <cellStyle name="Hiperlink 2 2" xfId="3"/>
    <cellStyle name="Normal 2" xfId="4"/>
    <cellStyle name="Normal 2 2" xfId="5"/>
    <cellStyle name="Normal 3" xfId="6"/>
    <cellStyle name="Normal 4" xfId="7"/>
    <cellStyle name="Hiperlink 2 3" xfId="8"/>
    <cellStyle name="Normal 2 3" xfId="9"/>
    <cellStyle name="Normal 3 2" xfId="10"/>
    <cellStyle name="Hiperlink 2 4" xfId="11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DAE3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zoomScaleNormal="100" workbookViewId="0">
      <pane ySplit="4" topLeftCell="A54" activePane="bottomLeft" state="frozen"/>
      <selection pane="bottomLeft" activeCell="F55" sqref="F55"/>
    </sheetView>
  </sheetViews>
  <sheetFormatPr baseColWidth="8" defaultColWidth="8.710937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8.5703125" customWidth="1" min="8" max="9"/>
    <col width="11.140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/>
      <c r="E5" s="14" t="inlineStr">
        <is>
          <t>X</t>
        </is>
      </c>
      <c r="F5" s="13" t="n"/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/>
      <c r="E6" s="14" t="inlineStr">
        <is>
          <t>X</t>
        </is>
      </c>
      <c r="F6" s="13" t="n"/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/>
      <c r="E7" s="14" t="inlineStr">
        <is>
          <t>X</t>
        </is>
      </c>
      <c r="F7" s="13" t="n"/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/>
      <c r="E8" s="14" t="inlineStr">
        <is>
          <t>X</t>
        </is>
      </c>
      <c r="F8" s="13" t="n"/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2</v>
      </c>
      <c r="E9" s="14" t="inlineStr">
        <is>
          <t>X</t>
        </is>
      </c>
      <c r="F9" s="13" t="n">
        <v>0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1</v>
      </c>
      <c r="E10" s="14" t="inlineStr">
        <is>
          <t>X</t>
        </is>
      </c>
      <c r="F10" s="13" t="n">
        <v>1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1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1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7</v>
      </c>
      <c r="E13" s="14" t="inlineStr">
        <is>
          <t>X</t>
        </is>
      </c>
      <c r="F13" s="13" t="n">
        <v>1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2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0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5</v>
      </c>
      <c r="E16" s="14" t="inlineStr">
        <is>
          <t>X</t>
        </is>
      </c>
      <c r="F16" s="13" t="n">
        <v>1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0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1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1</v>
      </c>
      <c r="E19" s="14" t="inlineStr">
        <is>
          <t>X</t>
        </is>
      </c>
      <c r="F19" s="13" t="n">
        <v>1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2</v>
      </c>
      <c r="E20" s="14" t="inlineStr">
        <is>
          <t>X</t>
        </is>
      </c>
      <c r="F20" s="13" t="n">
        <v>2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3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1</v>
      </c>
      <c r="E22" s="14" t="inlineStr">
        <is>
          <t>X</t>
        </is>
      </c>
      <c r="F22" s="13" t="n">
        <v>4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3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3</v>
      </c>
      <c r="E24" s="14" t="inlineStr">
        <is>
          <t>X</t>
        </is>
      </c>
      <c r="F24" s="13" t="n">
        <v>1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1</v>
      </c>
      <c r="E25" s="14" t="inlineStr">
        <is>
          <t>X</t>
        </is>
      </c>
      <c r="F25" s="13" t="n">
        <v>1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4</v>
      </c>
      <c r="E26" s="14" t="inlineStr">
        <is>
          <t>X</t>
        </is>
      </c>
      <c r="F26" s="13" t="n">
        <v>2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1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1</v>
      </c>
      <c r="E28" s="14" t="inlineStr">
        <is>
          <t>X</t>
        </is>
      </c>
      <c r="F28" s="13" t="n">
        <v>3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1</v>
      </c>
      <c r="E29" s="14" t="inlineStr">
        <is>
          <t>X</t>
        </is>
      </c>
      <c r="F29" s="13" t="n">
        <v>1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4</v>
      </c>
      <c r="E30" s="14" t="inlineStr">
        <is>
          <t>X</t>
        </is>
      </c>
      <c r="F30" s="13" t="n">
        <v>1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6</v>
      </c>
      <c r="E31" s="14" t="inlineStr">
        <is>
          <t>X</t>
        </is>
      </c>
      <c r="F31" s="13" t="n">
        <v>0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1</v>
      </c>
      <c r="E32" s="14" t="inlineStr">
        <is>
          <t>X</t>
        </is>
      </c>
      <c r="F32" s="13" t="n">
        <v>0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2</v>
      </c>
      <c r="E33" s="14" t="inlineStr">
        <is>
          <t>X</t>
        </is>
      </c>
      <c r="F33" s="13" t="n">
        <v>0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1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3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0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5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2</v>
      </c>
      <c r="E38" s="14" t="inlineStr">
        <is>
          <t>X</t>
        </is>
      </c>
      <c r="F38" s="13" t="n">
        <v>1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0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0</v>
      </c>
      <c r="E40" s="14" t="inlineStr">
        <is>
          <t>X</t>
        </is>
      </c>
      <c r="F40" s="13" t="n">
        <v>4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4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0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2</v>
      </c>
      <c r="E43" s="14" t="inlineStr">
        <is>
          <t>X</t>
        </is>
      </c>
      <c r="F43" s="13" t="n">
        <v>2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1</v>
      </c>
      <c r="E44" s="14" t="inlineStr">
        <is>
          <t>X</t>
        </is>
      </c>
      <c r="F44" s="13" t="n">
        <v>3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3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3</v>
      </c>
      <c r="E46" s="14" t="inlineStr">
        <is>
          <t>X</t>
        </is>
      </c>
      <c r="F46" s="13" t="n">
        <v>2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0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1</v>
      </c>
      <c r="E48" s="14" t="inlineStr">
        <is>
          <t>X</t>
        </is>
      </c>
      <c r="F48" s="13" t="n">
        <v>2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5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0</v>
      </c>
      <c r="E50" s="14" t="inlineStr">
        <is>
          <t>X</t>
        </is>
      </c>
      <c r="F50" s="13" t="n">
        <v>0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0</v>
      </c>
      <c r="E51" s="14" t="inlineStr">
        <is>
          <t>X</t>
        </is>
      </c>
      <c r="F51" s="13" t="n">
        <v>1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1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2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3</v>
      </c>
      <c r="E54" s="14" t="inlineStr">
        <is>
          <t>X</t>
        </is>
      </c>
      <c r="F54" s="13" t="n">
        <v>1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0</v>
      </c>
      <c r="E55" s="14" t="inlineStr">
        <is>
          <t>X</t>
        </is>
      </c>
      <c r="F55" s="13" t="n">
        <v>3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4</v>
      </c>
      <c r="E56" s="14" t="inlineStr">
        <is>
          <t>X</t>
        </is>
      </c>
      <c r="F56" s="13" t="n">
        <v>2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0</v>
      </c>
      <c r="E57" s="14" t="inlineStr">
        <is>
          <t>X</t>
        </is>
      </c>
      <c r="F57" s="13" t="n">
        <v>3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1</v>
      </c>
      <c r="E58" s="14" t="inlineStr">
        <is>
          <t>X</t>
        </is>
      </c>
      <c r="F58" s="13" t="n">
        <v>0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2</v>
      </c>
      <c r="E59" s="14" t="inlineStr">
        <is>
          <t>X</t>
        </is>
      </c>
      <c r="F59" s="13" t="n">
        <v>1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3</v>
      </c>
      <c r="E61" s="14" t="inlineStr">
        <is>
          <t>X</t>
        </is>
      </c>
      <c r="F61" s="13" t="n">
        <v>2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0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1</v>
      </c>
      <c r="E63" s="14" t="inlineStr">
        <is>
          <t>X</t>
        </is>
      </c>
      <c r="F63" s="13" t="n">
        <v>3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1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4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5</v>
      </c>
      <c r="E66" s="14" t="inlineStr">
        <is>
          <t>X</t>
        </is>
      </c>
      <c r="F66" s="13" t="n">
        <v>0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0</v>
      </c>
      <c r="E67" s="14" t="inlineStr">
        <is>
          <t>X</t>
        </is>
      </c>
      <c r="F67" s="13" t="n">
        <v>1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0</v>
      </c>
      <c r="E68" s="14" t="inlineStr">
        <is>
          <t>X</t>
        </is>
      </c>
      <c r="F68" s="13" t="n">
        <v>0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1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1</v>
      </c>
      <c r="E70" s="14" t="inlineStr">
        <is>
          <t>X</t>
        </is>
      </c>
      <c r="F70" s="13" t="n">
        <v>5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3</v>
      </c>
      <c r="E71" s="14" t="inlineStr">
        <is>
          <t>X</t>
        </is>
      </c>
      <c r="F71" s="13" t="n">
        <v>3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1</v>
      </c>
      <c r="E72" s="14" t="inlineStr">
        <is>
          <t>X</t>
        </is>
      </c>
      <c r="F72" s="13" t="n">
        <v>3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2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3</v>
      </c>
      <c r="E75" s="14" t="inlineStr">
        <is>
          <t>X</t>
        </is>
      </c>
      <c r="F75" s="13" t="n">
        <v>1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0</v>
      </c>
      <c r="E76" s="14" t="inlineStr">
        <is>
          <t>X</t>
        </is>
      </c>
      <c r="F76" s="13" t="n">
        <v>0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0</v>
      </c>
      <c r="E77" t="inlineStr">
        <is>
          <t>X</t>
        </is>
      </c>
      <c r="F77" t="n">
        <v>1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1</v>
      </c>
      <c r="E78" t="inlineStr">
        <is>
          <t>X</t>
        </is>
      </c>
      <c r="F78" t="n">
        <v>1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1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2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2</v>
      </c>
      <c r="E83" t="inlineStr">
        <is>
          <t>X</t>
        </is>
      </c>
      <c r="F83" t="n">
        <v>0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2</v>
      </c>
      <c r="E84" t="inlineStr">
        <is>
          <t>X</t>
        </is>
      </c>
      <c r="F84" t="n">
        <v>1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0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3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3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3</v>
      </c>
      <c r="E90" t="inlineStr">
        <is>
          <t>X</t>
        </is>
      </c>
      <c r="F90" t="n">
        <v>2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1</v>
      </c>
      <c r="E91" t="inlineStr">
        <is>
          <t>X</t>
        </is>
      </c>
      <c r="F91" t="n">
        <v>0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1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0</v>
      </c>
      <c r="E94" t="inlineStr">
        <is>
          <t>X</t>
        </is>
      </c>
      <c r="F94" t="n">
        <v>3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1</v>
      </c>
      <c r="E95" t="inlineStr">
        <is>
          <t>X</t>
        </is>
      </c>
      <c r="F95" t="n">
        <v>2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2</v>
      </c>
      <c r="E96" t="inlineStr">
        <is>
          <t>X</t>
        </is>
      </c>
      <c r="F96" t="n">
        <v>3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0</v>
      </c>
      <c r="E97" t="inlineStr">
        <is>
          <t>X</t>
        </is>
      </c>
      <c r="F97" t="n">
        <v>1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1</v>
      </c>
      <c r="E98" t="inlineStr">
        <is>
          <t>X</t>
        </is>
      </c>
      <c r="F98" t="n">
        <v>4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2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0</v>
      </c>
      <c r="E100" t="inlineStr">
        <is>
          <t>X</t>
        </is>
      </c>
      <c r="F100" t="n">
        <v>0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0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1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3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0</v>
      </c>
      <c r="E105" t="inlineStr">
        <is>
          <t>X</t>
        </is>
      </c>
      <c r="F105" t="n">
        <v>2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1</v>
      </c>
      <c r="E106" t="inlineStr">
        <is>
          <t>X</t>
        </is>
      </c>
      <c r="F106" t="n">
        <v>2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4</v>
      </c>
      <c r="E107" t="inlineStr">
        <is>
          <t>X</t>
        </is>
      </c>
      <c r="F107" t="n">
        <v>6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1</v>
      </c>
      <c r="E108" t="inlineStr">
        <is>
          <t>X</t>
        </is>
      </c>
      <c r="F108" t="n">
        <v>0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7875" right="0.7875" top="0.9840277777777779" bottom="0.9840277777777779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23" zoomScaleNormal="100" workbookViewId="0">
      <selection activeCell="K10" sqref="K10"/>
    </sheetView>
  </sheetViews>
  <sheetFormatPr baseColWidth="8" defaultColWidth="8.7109375" defaultRowHeight="12.75"/>
  <cols>
    <col width="11.28515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</row>
    <row r="2" ht="19.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19.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3" t="n"/>
      <c r="H3" s="115" t="n"/>
      <c r="I3" s="115" t="n"/>
      <c r="J3" s="103" t="n"/>
    </row>
    <row r="4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/>
      <c r="E5" s="14" t="inlineStr">
        <is>
          <t>X</t>
        </is>
      </c>
      <c r="F5" s="13" t="n"/>
      <c r="G5" s="12" t="inlineStr">
        <is>
          <t>África do Sul</t>
        </is>
      </c>
      <c r="H5" s="15" t="n">
        <v>46184</v>
      </c>
      <c r="I5" s="16" t="n">
        <v>46184</v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/>
      <c r="E6" s="14" t="inlineStr">
        <is>
          <t>X</t>
        </is>
      </c>
      <c r="F6" s="13" t="n"/>
      <c r="G6" s="12" t="inlineStr">
        <is>
          <t>Tchéquia</t>
        </is>
      </c>
      <c r="H6" s="15" t="n">
        <v>46184</v>
      </c>
      <c r="I6" s="16" t="n">
        <v>46184</v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/>
      <c r="E7" s="14" t="inlineStr">
        <is>
          <t>X</t>
        </is>
      </c>
      <c r="F7" s="13" t="n"/>
      <c r="G7" s="12" t="inlineStr">
        <is>
          <t>Bósnia</t>
        </is>
      </c>
      <c r="H7" s="15" t="n">
        <v>46185</v>
      </c>
      <c r="I7" s="16" t="n">
        <v>46185</v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/>
      <c r="E8" s="14" t="inlineStr">
        <is>
          <t>X</t>
        </is>
      </c>
      <c r="F8" s="13" t="n"/>
      <c r="G8" s="12" t="inlineStr">
        <is>
          <t>Paraguai</t>
        </is>
      </c>
      <c r="H8" s="15" t="n">
        <v>46185</v>
      </c>
      <c r="I8" s="16" t="n">
        <v>46185</v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/>
      <c r="E9" s="14" t="inlineStr">
        <is>
          <t>X</t>
        </is>
      </c>
      <c r="F9" s="13" t="n"/>
      <c r="G9" s="12" t="inlineStr">
        <is>
          <t>Turquia</t>
        </is>
      </c>
      <c r="H9" s="15" t="n">
        <v>46186</v>
      </c>
      <c r="I9" s="16" t="n">
        <v>46186</v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2</v>
      </c>
      <c r="G10" s="12" t="inlineStr">
        <is>
          <t>Suíça</t>
        </is>
      </c>
      <c r="H10" s="15" t="n">
        <v>46186</v>
      </c>
      <c r="I10" s="16" t="n">
        <v>46186</v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2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 t="n">
        <v>46186</v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1</v>
      </c>
      <c r="E12" s="14" t="inlineStr">
        <is>
          <t>X</t>
        </is>
      </c>
      <c r="F12" s="13" t="n">
        <v>1</v>
      </c>
      <c r="G12" s="12" t="inlineStr">
        <is>
          <t>Escócia</t>
        </is>
      </c>
      <c r="H12" s="15" t="n">
        <v>46186</v>
      </c>
      <c r="I12" s="16" t="n">
        <v>46186</v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4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 t="n">
        <v>46187</v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 t="n">
        <v>46187</v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1</v>
      </c>
      <c r="G15" s="12" t="inlineStr">
        <is>
          <t>Equador</t>
        </is>
      </c>
      <c r="H15" s="15" t="n">
        <v>46187</v>
      </c>
      <c r="I15" s="16" t="n">
        <v>46187</v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2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 t="n">
        <v>46187</v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3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 t="n">
        <v>46188</v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2</v>
      </c>
      <c r="E18" s="14" t="inlineStr">
        <is>
          <t>X</t>
        </is>
      </c>
      <c r="F18" s="13" t="n">
        <v>0</v>
      </c>
      <c r="G18" s="12" t="inlineStr">
        <is>
          <t>Egito</t>
        </is>
      </c>
      <c r="H18" s="15" t="n">
        <v>46188</v>
      </c>
      <c r="I18" s="16" t="n">
        <v>46188</v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0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 t="n">
        <v>46188</v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1</v>
      </c>
      <c r="E20" s="14" t="inlineStr">
        <is>
          <t>X</t>
        </is>
      </c>
      <c r="F20" s="13" t="n">
        <v>0</v>
      </c>
      <c r="G20" s="12" t="inlineStr">
        <is>
          <t>Nova Zelândia</t>
        </is>
      </c>
      <c r="H20" s="15" t="n">
        <v>46188</v>
      </c>
      <c r="I20" s="16" t="n">
        <v>46188</v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2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 t="n">
        <v>46189</v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2</v>
      </c>
      <c r="G22" s="12" t="inlineStr">
        <is>
          <t>Noruega</t>
        </is>
      </c>
      <c r="H22" s="15" t="n">
        <v>46189</v>
      </c>
      <c r="I22" s="16" t="n">
        <v>46189</v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3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 t="n">
        <v>46189</v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2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 t="n">
        <v>46190</v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2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 t="n">
        <v>46190</v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1</v>
      </c>
      <c r="G26" s="12" t="inlineStr">
        <is>
          <t>Croácia</t>
        </is>
      </c>
      <c r="H26" s="15" t="n">
        <v>46190</v>
      </c>
      <c r="I26" s="16" t="n">
        <v>46190</v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2</v>
      </c>
      <c r="E27" s="14" t="inlineStr">
        <is>
          <t>X</t>
        </is>
      </c>
      <c r="F27" s="13" t="n">
        <v>1</v>
      </c>
      <c r="G27" s="12" t="inlineStr">
        <is>
          <t>Panamá</t>
        </is>
      </c>
      <c r="H27" s="15" t="n">
        <v>46190</v>
      </c>
      <c r="I27" s="16" t="n">
        <v>46190</v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1</v>
      </c>
      <c r="E28" s="14" t="inlineStr">
        <is>
          <t>X</t>
        </is>
      </c>
      <c r="F28" s="13" t="n">
        <v>2</v>
      </c>
      <c r="G28" s="12" t="inlineStr">
        <is>
          <t>Colômbia</t>
        </is>
      </c>
      <c r="H28" s="15" t="n">
        <v>46190</v>
      </c>
      <c r="I28" s="16" t="n">
        <v>46190</v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1</v>
      </c>
      <c r="E29" s="14" t="inlineStr">
        <is>
          <t>X</t>
        </is>
      </c>
      <c r="F29" s="13" t="n">
        <v>1</v>
      </c>
      <c r="G29" s="12" t="inlineStr">
        <is>
          <t>África do Sul</t>
        </is>
      </c>
      <c r="H29" s="15" t="n">
        <v>46191</v>
      </c>
      <c r="I29" s="16" t="n">
        <v>46191</v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2</v>
      </c>
      <c r="E30" s="14" t="inlineStr">
        <is>
          <t>X</t>
        </is>
      </c>
      <c r="F30" s="13" t="n">
        <v>0</v>
      </c>
      <c r="G30" s="12" t="inlineStr">
        <is>
          <t>Bósnia</t>
        </is>
      </c>
      <c r="H30" s="15" t="n">
        <v>46191</v>
      </c>
      <c r="I30" s="16" t="n">
        <v>46191</v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2</v>
      </c>
      <c r="E31" s="14" t="inlineStr">
        <is>
          <t>X</t>
        </is>
      </c>
      <c r="F31" s="13" t="n">
        <v>1</v>
      </c>
      <c r="G31" s="12" t="inlineStr">
        <is>
          <t>Catar</t>
        </is>
      </c>
      <c r="H31" s="15" t="n">
        <v>46191</v>
      </c>
      <c r="I31" s="16" t="n">
        <v>46191</v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2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 t="n">
        <v>46191</v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2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 t="n">
        <v>46192</v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1</v>
      </c>
      <c r="G34" s="12" t="inlineStr">
        <is>
          <t>Escócia</t>
        </is>
      </c>
      <c r="H34" s="15" t="n">
        <v>46192</v>
      </c>
      <c r="I34" s="16" t="n">
        <v>46192</v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3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 t="n">
        <v>46192</v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2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 t="n">
        <v>46193</v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1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 t="n">
        <v>46193</v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2</v>
      </c>
      <c r="E38" s="14" t="inlineStr">
        <is>
          <t>X</t>
        </is>
      </c>
      <c r="F38" s="13" t="n">
        <v>0</v>
      </c>
      <c r="G38" s="12" t="inlineStr">
        <is>
          <t>Costa do Marfim</t>
        </is>
      </c>
      <c r="H38" s="15" t="n">
        <v>46193</v>
      </c>
      <c r="I38" s="16" t="n">
        <v>46193</v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2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 t="n">
        <v>46193</v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1</v>
      </c>
      <c r="E40" s="14" t="inlineStr">
        <is>
          <t>X</t>
        </is>
      </c>
      <c r="F40" s="13" t="n">
        <v>2</v>
      </c>
      <c r="G40" s="12" t="inlineStr">
        <is>
          <t>Japão</t>
        </is>
      </c>
      <c r="H40" s="15" t="n">
        <v>46194</v>
      </c>
      <c r="I40" s="16" t="n">
        <v>46194</v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2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 t="n">
        <v>46194</v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2</v>
      </c>
      <c r="E42" s="14" t="inlineStr">
        <is>
          <t>X</t>
        </is>
      </c>
      <c r="F42" s="13" t="n">
        <v>1</v>
      </c>
      <c r="G42" s="12" t="inlineStr">
        <is>
          <t>Irã</t>
        </is>
      </c>
      <c r="H42" s="15" t="n">
        <v>46194</v>
      </c>
      <c r="I42" s="16" t="n">
        <v>46194</v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2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 t="n">
        <v>46194</v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1</v>
      </c>
      <c r="E44" s="14" t="inlineStr">
        <is>
          <t>X</t>
        </is>
      </c>
      <c r="F44" s="13" t="n">
        <v>1</v>
      </c>
      <c r="G44" s="12" t="inlineStr">
        <is>
          <t>Egito</t>
        </is>
      </c>
      <c r="H44" s="15" t="n">
        <v>46194</v>
      </c>
      <c r="I44" s="16" t="n">
        <v>46194</v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3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 t="n">
        <v>46195</v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1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 t="n">
        <v>46195</v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0</v>
      </c>
      <c r="G47" s="12" t="inlineStr">
        <is>
          <t>Áustria</t>
        </is>
      </c>
      <c r="H47" s="15" t="n">
        <v>46195</v>
      </c>
      <c r="I47" s="16" t="n">
        <v>46195</v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1</v>
      </c>
      <c r="E48" s="14" t="inlineStr">
        <is>
          <t>X</t>
        </is>
      </c>
      <c r="F48" s="13" t="n">
        <v>1</v>
      </c>
      <c r="G48" s="12" t="inlineStr">
        <is>
          <t>Argélia</t>
        </is>
      </c>
      <c r="H48" s="15" t="n">
        <v>46196</v>
      </c>
      <c r="I48" s="16" t="n">
        <v>46196</v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1</v>
      </c>
      <c r="G49" s="12" t="inlineStr">
        <is>
          <t>Uzbequistão</t>
        </is>
      </c>
      <c r="H49" s="15" t="n">
        <v>46196</v>
      </c>
      <c r="I49" s="16" t="n">
        <v>46196</v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3</v>
      </c>
      <c r="E50" s="14" t="inlineStr">
        <is>
          <t>X</t>
        </is>
      </c>
      <c r="F50" s="13" t="n">
        <v>1</v>
      </c>
      <c r="G50" s="12" t="inlineStr">
        <is>
          <t>Gana</t>
        </is>
      </c>
      <c r="H50" s="15" t="n">
        <v>46196</v>
      </c>
      <c r="I50" s="16" t="n">
        <v>46196</v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1</v>
      </c>
      <c r="E51" s="14" t="inlineStr">
        <is>
          <t>X</t>
        </is>
      </c>
      <c r="F51" s="13" t="n">
        <v>1</v>
      </c>
      <c r="G51" s="12" t="inlineStr">
        <is>
          <t>Croácia</t>
        </is>
      </c>
      <c r="H51" s="15" t="n">
        <v>46196</v>
      </c>
      <c r="I51" s="16" t="n">
        <v>46196</v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2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 t="n">
        <v>46196</v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1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 t="n">
        <v>46197</v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 t="n">
        <v>46197</v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1</v>
      </c>
      <c r="E55" s="14" t="inlineStr">
        <is>
          <t>X</t>
        </is>
      </c>
      <c r="F55" s="13" t="n">
        <v>2</v>
      </c>
      <c r="G55" s="18" t="inlineStr">
        <is>
          <t>Brasil</t>
        </is>
      </c>
      <c r="H55" s="15" t="n">
        <v>46197</v>
      </c>
      <c r="I55" s="16" t="n">
        <v>46197</v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2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 t="n">
        <v>46197</v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1</v>
      </c>
      <c r="E57" s="14" t="inlineStr">
        <is>
          <t>X</t>
        </is>
      </c>
      <c r="F57" s="13" t="n">
        <v>2</v>
      </c>
      <c r="G57" s="12" t="inlineStr">
        <is>
          <t>México</t>
        </is>
      </c>
      <c r="H57" s="15" t="n">
        <v>46197</v>
      </c>
      <c r="I57" s="16" t="n">
        <v>46197</v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0</v>
      </c>
      <c r="E58" s="14" t="inlineStr">
        <is>
          <t>X</t>
        </is>
      </c>
      <c r="F58" s="13" t="n">
        <v>1</v>
      </c>
      <c r="G58" s="12" t="inlineStr">
        <is>
          <t>Coreia do Sul</t>
        </is>
      </c>
      <c r="H58" s="15" t="n">
        <v>46197</v>
      </c>
      <c r="I58" s="16" t="n">
        <v>46197</v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1</v>
      </c>
      <c r="E59" s="14" t="inlineStr">
        <is>
          <t>X</t>
        </is>
      </c>
      <c r="F59" s="13" t="n">
        <v>2</v>
      </c>
      <c r="G59" s="12" t="inlineStr">
        <is>
          <t>Alemanha</t>
        </is>
      </c>
      <c r="H59" s="15" t="n">
        <v>46198</v>
      </c>
      <c r="I59" s="16" t="n">
        <v>46198</v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 t="n">
        <v>46198</v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2</v>
      </c>
      <c r="G61" s="12" t="inlineStr">
        <is>
          <t>EUA</t>
        </is>
      </c>
      <c r="H61" s="15" t="n">
        <v>46198</v>
      </c>
      <c r="I61" s="16" t="n">
        <v>46198</v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1</v>
      </c>
      <c r="G62" s="12" t="inlineStr">
        <is>
          <t>Austrália</t>
        </is>
      </c>
      <c r="H62" s="15" t="n">
        <v>46198</v>
      </c>
      <c r="I62" s="16" t="n">
        <v>46198</v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0</v>
      </c>
      <c r="E63" s="14" t="inlineStr">
        <is>
          <t>X</t>
        </is>
      </c>
      <c r="F63" s="13" t="n">
        <v>2</v>
      </c>
      <c r="G63" s="12" t="inlineStr">
        <is>
          <t>Holanda</t>
        </is>
      </c>
      <c r="H63" s="15" t="n">
        <v>46198</v>
      </c>
      <c r="I63" s="16" t="n">
        <v>46198</v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1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 t="n">
        <v>46198</v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 t="n">
        <v>46199</v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2</v>
      </c>
      <c r="E66" s="14" t="inlineStr">
        <is>
          <t>X</t>
        </is>
      </c>
      <c r="F66" s="13" t="n">
        <v>0</v>
      </c>
      <c r="G66" s="12" t="inlineStr">
        <is>
          <t>Iraque</t>
        </is>
      </c>
      <c r="H66" s="15" t="n">
        <v>46199</v>
      </c>
      <c r="I66" s="16" t="n">
        <v>46199</v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1</v>
      </c>
      <c r="E67" s="14" t="inlineStr">
        <is>
          <t>X</t>
        </is>
      </c>
      <c r="F67" s="13" t="n">
        <v>1</v>
      </c>
      <c r="G67" s="12" t="inlineStr">
        <is>
          <t>Espanha</t>
        </is>
      </c>
      <c r="H67" s="15" t="n">
        <v>46199</v>
      </c>
      <c r="I67" s="16" t="n">
        <v>46199</v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1</v>
      </c>
      <c r="E68" s="14" t="inlineStr">
        <is>
          <t>X</t>
        </is>
      </c>
      <c r="F68" s="13" t="n">
        <v>1</v>
      </c>
      <c r="G68" s="12" t="inlineStr">
        <is>
          <t>Arábia Saudita</t>
        </is>
      </c>
      <c r="H68" s="15" t="n">
        <v>46199</v>
      </c>
      <c r="I68" s="16" t="n">
        <v>46199</v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1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 t="n">
        <v>46199</v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2</v>
      </c>
      <c r="G70" s="12" t="inlineStr">
        <is>
          <t>Bélgica</t>
        </is>
      </c>
      <c r="H70" s="15" t="n">
        <v>46199</v>
      </c>
      <c r="I70" s="16" t="n">
        <v>46199</v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1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 t="n">
        <v>46200</v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3</v>
      </c>
      <c r="G72" s="12" t="inlineStr">
        <is>
          <t>Argentina</t>
        </is>
      </c>
      <c r="H72" s="15" t="n">
        <v>46200</v>
      </c>
      <c r="I72" s="16" t="n">
        <v>46200</v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2</v>
      </c>
      <c r="G73" s="12" t="inlineStr">
        <is>
          <t>Inglaterra</t>
        </is>
      </c>
      <c r="H73" s="15" t="n">
        <v>46200</v>
      </c>
      <c r="I73" s="16" t="n">
        <v>46200</v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 t="n">
        <v>46200</v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1</v>
      </c>
      <c r="E75" s="14" t="inlineStr">
        <is>
          <t>X</t>
        </is>
      </c>
      <c r="F75" s="13" t="n">
        <v>1</v>
      </c>
      <c r="G75" s="12" t="inlineStr">
        <is>
          <t>Uzbequistão</t>
        </is>
      </c>
      <c r="H75" s="15" t="n">
        <v>46200</v>
      </c>
      <c r="I75" s="16" t="n">
        <v>46200</v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1</v>
      </c>
      <c r="G76" s="12" t="inlineStr">
        <is>
          <t>Portugal</t>
        </is>
      </c>
      <c r="H76" s="15" t="n">
        <v>46200</v>
      </c>
      <c r="I76" s="16" t="n">
        <v>46200</v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1</v>
      </c>
      <c r="E77" t="inlineStr">
        <is>
          <t>X</t>
        </is>
      </c>
      <c r="F77" t="n">
        <v>3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2</v>
      </c>
      <c r="E78" t="inlineStr">
        <is>
          <t>X</t>
        </is>
      </c>
      <c r="F78" t="n">
        <v>1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1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2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0</v>
      </c>
      <c r="E83" t="inlineStr">
        <is>
          <t>X</t>
        </is>
      </c>
      <c r="F83" t="n">
        <v>1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0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1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1</v>
      </c>
      <c r="E87" t="inlineStr">
        <is>
          <t>X</t>
        </is>
      </c>
      <c r="F87" t="n">
        <v>0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1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3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2</v>
      </c>
      <c r="E91" t="inlineStr">
        <is>
          <t>X</t>
        </is>
      </c>
      <c r="F91" t="n">
        <v>1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2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3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1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2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0</v>
      </c>
      <c r="E96" t="inlineStr">
        <is>
          <t>X</t>
        </is>
      </c>
      <c r="F96" t="n">
        <v>2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1</v>
      </c>
      <c r="E98" t="inlineStr">
        <is>
          <t>X</t>
        </is>
      </c>
      <c r="F98" t="n">
        <v>2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2</v>
      </c>
      <c r="E99" t="inlineStr">
        <is>
          <t>X</t>
        </is>
      </c>
      <c r="F99" t="n">
        <v>1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1</v>
      </c>
      <c r="E100" t="inlineStr">
        <is>
          <t>X</t>
        </is>
      </c>
      <c r="F100" t="n">
        <v>1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2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0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1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0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1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2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1</v>
      </c>
      <c r="E108" t="inlineStr">
        <is>
          <t>X</t>
        </is>
      </c>
      <c r="F108" t="n">
        <v>2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8"/>
  <sheetViews>
    <sheetView showGridLines="0" tabSelected="1" topLeftCell="A54" zoomScaleNormal="100" workbookViewId="0">
      <selection activeCell="J67" sqref="J67"/>
    </sheetView>
  </sheetViews>
  <sheetFormatPr baseColWidth="8" defaultColWidth="8.710937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8.5703125" customWidth="1" min="8" max="9"/>
    <col width="11.140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/>
      <c r="E5" s="14" t="inlineStr">
        <is>
          <t>X</t>
        </is>
      </c>
      <c r="F5" s="13" t="n"/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/>
      <c r="E6" s="14" t="inlineStr">
        <is>
          <t>X</t>
        </is>
      </c>
      <c r="F6" s="13" t="n"/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/>
      <c r="E7" s="14" t="inlineStr">
        <is>
          <t>X</t>
        </is>
      </c>
      <c r="F7" s="13" t="n"/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/>
      <c r="E8" s="14" t="inlineStr">
        <is>
          <t>X</t>
        </is>
      </c>
      <c r="F8" s="13" t="n"/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1</v>
      </c>
      <c r="E9" s="14" t="inlineStr">
        <is>
          <t>X</t>
        </is>
      </c>
      <c r="F9" s="13" t="n">
        <v>2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2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2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4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5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1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0</v>
      </c>
      <c r="E15" s="14" t="inlineStr">
        <is>
          <t>X</t>
        </is>
      </c>
      <c r="F15" s="13" t="n">
        <v>0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1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5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2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0</v>
      </c>
      <c r="E19" s="14" t="inlineStr">
        <is>
          <t>X</t>
        </is>
      </c>
      <c r="F19" s="13" t="n">
        <v>1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1</v>
      </c>
      <c r="E20" s="14" t="inlineStr">
        <is>
          <t>X</t>
        </is>
      </c>
      <c r="F20" s="13" t="n">
        <v>1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2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2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1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2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3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1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2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0</v>
      </c>
      <c r="E28" s="14" t="inlineStr">
        <is>
          <t>X</t>
        </is>
      </c>
      <c r="F28" s="13" t="n">
        <v>2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0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2</v>
      </c>
      <c r="E30" s="14" t="inlineStr">
        <is>
          <t>X</t>
        </is>
      </c>
      <c r="F30" s="13" t="n">
        <v>0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1</v>
      </c>
      <c r="E31" s="14" t="inlineStr">
        <is>
          <t>X</t>
        </is>
      </c>
      <c r="F31" s="13" t="n">
        <v>0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1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1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1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4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2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2</v>
      </c>
      <c r="E37" s="14" t="inlineStr">
        <is>
          <t>X</t>
        </is>
      </c>
      <c r="F37" s="13" t="n">
        <v>0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3</v>
      </c>
      <c r="E38" s="14" t="inlineStr">
        <is>
          <t>X</t>
        </is>
      </c>
      <c r="F38" s="13" t="n">
        <v>0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2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0</v>
      </c>
      <c r="E40" s="14" t="inlineStr">
        <is>
          <t>X</t>
        </is>
      </c>
      <c r="F40" s="13" t="n">
        <v>1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3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2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3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1</v>
      </c>
      <c r="E44" s="14" t="inlineStr">
        <is>
          <t>X</t>
        </is>
      </c>
      <c r="F44" s="13" t="n">
        <v>1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3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1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1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1</v>
      </c>
      <c r="E48" s="14" t="inlineStr">
        <is>
          <t>X</t>
        </is>
      </c>
      <c r="F48" s="13" t="n">
        <v>1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3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3</v>
      </c>
      <c r="E50" s="14" t="inlineStr">
        <is>
          <t>X</t>
        </is>
      </c>
      <c r="F50" s="13" t="n">
        <v>1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0</v>
      </c>
      <c r="E51" s="14" t="inlineStr">
        <is>
          <t>X</t>
        </is>
      </c>
      <c r="F51" s="13" t="n">
        <v>2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2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1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0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1</v>
      </c>
      <c r="E55" s="14" t="inlineStr">
        <is>
          <t>X</t>
        </is>
      </c>
      <c r="F55" s="13" t="n">
        <v>2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  <c r="N55" s="72" t="n"/>
      <c r="O55" s="73" t="n"/>
      <c r="P55" s="74" t="n"/>
      <c r="Q55" s="73" t="n"/>
      <c r="R55" s="75" t="n"/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2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  <c r="N56" s="72" t="n"/>
      <c r="O56" s="73" t="n"/>
      <c r="P56" s="74" t="n"/>
      <c r="Q56" s="73" t="n"/>
      <c r="R56" s="72" t="n"/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1</v>
      </c>
      <c r="E57" s="14" t="inlineStr">
        <is>
          <t>X</t>
        </is>
      </c>
      <c r="F57" s="13" t="n">
        <v>1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  <c r="N57" s="72" t="n"/>
      <c r="O57" s="73" t="n"/>
      <c r="P57" s="74" t="n"/>
      <c r="Q57" s="73" t="n"/>
      <c r="R57" s="72" t="n"/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1</v>
      </c>
      <c r="E58" s="14" t="inlineStr">
        <is>
          <t>X</t>
        </is>
      </c>
      <c r="F58" s="13" t="n">
        <v>1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  <c r="N58" s="72" t="n"/>
      <c r="O58" s="73" t="n"/>
      <c r="P58" s="74" t="n"/>
      <c r="Q58" s="73" t="n"/>
      <c r="R58" s="72" t="n"/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1</v>
      </c>
      <c r="E59" s="14" t="inlineStr">
        <is>
          <t>X</t>
        </is>
      </c>
      <c r="F59" s="13" t="n">
        <v>2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1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0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1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1</v>
      </c>
      <c r="E63" s="14" t="inlineStr">
        <is>
          <t>X</t>
        </is>
      </c>
      <c r="F63" s="13" t="n">
        <v>2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1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3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2</v>
      </c>
      <c r="E66" s="14" t="inlineStr">
        <is>
          <t>X</t>
        </is>
      </c>
      <c r="F66" s="13" t="n">
        <v>1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2</v>
      </c>
      <c r="E67" s="14" t="inlineStr">
        <is>
          <t>X</t>
        </is>
      </c>
      <c r="F67" s="13" t="n">
        <v>2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0</v>
      </c>
      <c r="E68" s="14" t="inlineStr">
        <is>
          <t>X</t>
        </is>
      </c>
      <c r="F68" s="13" t="n">
        <v>1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1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2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1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2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3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1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2</v>
      </c>
      <c r="E75" s="14" t="inlineStr">
        <is>
          <t>X</t>
        </is>
      </c>
      <c r="F75" s="13" t="n">
        <v>2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2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1</v>
      </c>
      <c r="E77" t="inlineStr">
        <is>
          <t>X</t>
        </is>
      </c>
      <c r="F77" t="n">
        <v>21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3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0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0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2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2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1</v>
      </c>
      <c r="E83" t="inlineStr">
        <is>
          <t>X</t>
        </is>
      </c>
      <c r="F83" t="n">
        <v>0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1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1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1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3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1</v>
      </c>
      <c r="E91" t="inlineStr">
        <is>
          <t>X</t>
        </is>
      </c>
      <c r="F91" t="n">
        <v>1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5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2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1</v>
      </c>
      <c r="E96" t="inlineStr">
        <is>
          <t>X</t>
        </is>
      </c>
      <c r="F96" t="n">
        <v>1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1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0</v>
      </c>
      <c r="E100" t="inlineStr">
        <is>
          <t>X</t>
        </is>
      </c>
      <c r="F100" t="n">
        <v>1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1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1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1</v>
      </c>
      <c r="E102" t="inlineStr">
        <is>
          <t>X</t>
        </is>
      </c>
      <c r="F102" t="n">
        <v>0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1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1</v>
      </c>
      <c r="E105" t="inlineStr">
        <is>
          <t>X</t>
        </is>
      </c>
      <c r="F105" t="n">
        <v>2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1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2</v>
      </c>
      <c r="E107" t="inlineStr">
        <is>
          <t>X</t>
        </is>
      </c>
      <c r="F107" t="n">
        <v>0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1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27" zoomScaleNormal="100" workbookViewId="0">
      <selection activeCell="C54" sqref="C54"/>
    </sheetView>
  </sheetViews>
  <sheetFormatPr baseColWidth="8" defaultColWidth="8.710937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8.5703125" customWidth="1" min="8" max="9"/>
    <col width="11.140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>
        <v>2</v>
      </c>
      <c r="E5" s="14" t="inlineStr">
        <is>
          <t>X</t>
        </is>
      </c>
      <c r="F5" s="13" t="n">
        <v>0</v>
      </c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>
        <v>1</v>
      </c>
      <c r="E6" s="14" t="inlineStr">
        <is>
          <t>X</t>
        </is>
      </c>
      <c r="F6" s="13" t="n">
        <v>1</v>
      </c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>
        <v>0</v>
      </c>
      <c r="E7" s="14" t="inlineStr">
        <is>
          <t>X</t>
        </is>
      </c>
      <c r="F7" s="13" t="n">
        <v>1</v>
      </c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>
        <v>3</v>
      </c>
      <c r="E8" s="14" t="inlineStr">
        <is>
          <t>X</t>
        </is>
      </c>
      <c r="F8" s="13" t="n">
        <v>1</v>
      </c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0</v>
      </c>
      <c r="E9" s="14" t="inlineStr">
        <is>
          <t>X</t>
        </is>
      </c>
      <c r="F9" s="13" t="n">
        <v>2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3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1</v>
      </c>
      <c r="E11" s="14" t="inlineStr">
        <is>
          <t>X</t>
        </is>
      </c>
      <c r="F11" s="13" t="n">
        <v>2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3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7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1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1</v>
      </c>
      <c r="E16" s="14" t="inlineStr">
        <is>
          <t>X</t>
        </is>
      </c>
      <c r="F16" s="13" t="n">
        <v>1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4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2</v>
      </c>
      <c r="E18" s="14" t="inlineStr">
        <is>
          <t>X</t>
        </is>
      </c>
      <c r="F18" s="13" t="n">
        <v>0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0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1</v>
      </c>
      <c r="E20" s="14" t="inlineStr">
        <is>
          <t>X</t>
        </is>
      </c>
      <c r="F20" s="13" t="n">
        <v>1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3</v>
      </c>
      <c r="E21" s="14" t="inlineStr">
        <is>
          <t>X</t>
        </is>
      </c>
      <c r="F21" s="13" t="n">
        <v>0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2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2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2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0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4</v>
      </c>
      <c r="E27" s="14" t="inlineStr">
        <is>
          <t>X</t>
        </is>
      </c>
      <c r="F27" s="13" t="n">
        <v>1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0</v>
      </c>
      <c r="E28" s="14" t="inlineStr">
        <is>
          <t>X</t>
        </is>
      </c>
      <c r="F28" s="13" t="n">
        <v>3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0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1</v>
      </c>
      <c r="E30" s="14" t="inlineStr">
        <is>
          <t>X</t>
        </is>
      </c>
      <c r="F30" s="13" t="n">
        <v>1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1</v>
      </c>
      <c r="E31" s="14" t="inlineStr">
        <is>
          <t>X</t>
        </is>
      </c>
      <c r="F31" s="13" t="n">
        <v>1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3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3</v>
      </c>
      <c r="E33" s="14" t="inlineStr">
        <is>
          <t>X</t>
        </is>
      </c>
      <c r="F33" s="13" t="n">
        <v>0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5</v>
      </c>
      <c r="E35" s="14" t="inlineStr">
        <is>
          <t>X</t>
        </is>
      </c>
      <c r="F35" s="13" t="n">
        <v>1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1</v>
      </c>
      <c r="E36" s="14" t="inlineStr">
        <is>
          <t>X</t>
        </is>
      </c>
      <c r="F36" s="13" t="n">
        <v>0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1</v>
      </c>
      <c r="E37" s="14" t="inlineStr">
        <is>
          <t>X</t>
        </is>
      </c>
      <c r="F37" s="13" t="n">
        <v>0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2</v>
      </c>
      <c r="E38" s="14" t="inlineStr">
        <is>
          <t>X</t>
        </is>
      </c>
      <c r="F38" s="13" t="n">
        <v>2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5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1</v>
      </c>
      <c r="E40" s="14" t="inlineStr">
        <is>
          <t>X</t>
        </is>
      </c>
      <c r="F40" s="13" t="n">
        <v>2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4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2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4</v>
      </c>
      <c r="E43" s="14" t="inlineStr">
        <is>
          <t>X</t>
        </is>
      </c>
      <c r="F43" s="13" t="n">
        <v>1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0</v>
      </c>
      <c r="E44" s="14" t="inlineStr">
        <is>
          <t>X</t>
        </is>
      </c>
      <c r="F44" s="13" t="n">
        <v>2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4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3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3</v>
      </c>
      <c r="E47" s="14" t="inlineStr">
        <is>
          <t>X</t>
        </is>
      </c>
      <c r="F47" s="13" t="n">
        <v>1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1</v>
      </c>
      <c r="E48" s="14" t="inlineStr">
        <is>
          <t>X</t>
        </is>
      </c>
      <c r="F48" s="13" t="n">
        <v>2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2</v>
      </c>
      <c r="E50" s="14" t="inlineStr">
        <is>
          <t>X</t>
        </is>
      </c>
      <c r="F50" s="13" t="n">
        <v>1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1</v>
      </c>
      <c r="E51" s="14" t="inlineStr">
        <is>
          <t>X</t>
        </is>
      </c>
      <c r="F51" s="13" t="n">
        <v>3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3</v>
      </c>
      <c r="E52" s="14" t="inlineStr">
        <is>
          <t>X</t>
        </is>
      </c>
      <c r="F52" s="13" t="n">
        <v>1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2</v>
      </c>
      <c r="E53" s="14" t="inlineStr">
        <is>
          <t>X</t>
        </is>
      </c>
      <c r="F53" s="13" t="n">
        <v>0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2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0</v>
      </c>
      <c r="E55" s="14" t="inlineStr">
        <is>
          <t>X</t>
        </is>
      </c>
      <c r="F55" s="13" t="n">
        <v>2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6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0</v>
      </c>
      <c r="E57" s="14" t="inlineStr">
        <is>
          <t>X</t>
        </is>
      </c>
      <c r="F57" s="13" t="n">
        <v>1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0</v>
      </c>
      <c r="E58" s="14" t="inlineStr">
        <is>
          <t>X</t>
        </is>
      </c>
      <c r="F58" s="13" t="n">
        <v>3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1</v>
      </c>
      <c r="E59" s="14" t="inlineStr">
        <is>
          <t>X</t>
        </is>
      </c>
      <c r="F59" s="13" t="n">
        <v>1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4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1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1</v>
      </c>
      <c r="E63" s="14" t="inlineStr">
        <is>
          <t>X</t>
        </is>
      </c>
      <c r="F63" s="13" t="n">
        <v>2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2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0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2</v>
      </c>
      <c r="E66" s="14" t="inlineStr">
        <is>
          <t>X</t>
        </is>
      </c>
      <c r="F66" s="13" t="n">
        <v>0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1</v>
      </c>
      <c r="E67" s="14" t="inlineStr">
        <is>
          <t>X</t>
        </is>
      </c>
      <c r="F67" s="13" t="n">
        <v>3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0</v>
      </c>
      <c r="E68" s="14" t="inlineStr">
        <is>
          <t>X</t>
        </is>
      </c>
      <c r="F68" s="13" t="n">
        <v>3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2</v>
      </c>
      <c r="E69" s="14" t="inlineStr">
        <is>
          <t>X</t>
        </is>
      </c>
      <c r="F69" s="13" t="n">
        <v>0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3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1</v>
      </c>
      <c r="E71" s="14" t="inlineStr">
        <is>
          <t>X</t>
        </is>
      </c>
      <c r="F71" s="13" t="n">
        <v>2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4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1</v>
      </c>
      <c r="E73" s="14" t="inlineStr">
        <is>
          <t>X</t>
        </is>
      </c>
      <c r="F73" s="13" t="n">
        <v>4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2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1</v>
      </c>
      <c r="E75" s="14" t="inlineStr">
        <is>
          <t>X</t>
        </is>
      </c>
      <c r="F75" s="13" t="n">
        <v>1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2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0</v>
      </c>
      <c r="E77" t="inlineStr">
        <is>
          <t>X</t>
        </is>
      </c>
      <c r="F77" t="n">
        <v>1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2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3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0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4</v>
      </c>
      <c r="E81" t="inlineStr">
        <is>
          <t>X</t>
        </is>
      </c>
      <c r="F81" t="n">
        <v>1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0</v>
      </c>
      <c r="E82" t="inlineStr">
        <is>
          <t>X</t>
        </is>
      </c>
      <c r="F82" t="n">
        <v>3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2</v>
      </c>
      <c r="E83" t="inlineStr">
        <is>
          <t>X</t>
        </is>
      </c>
      <c r="F83" t="n">
        <v>1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1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4</v>
      </c>
      <c r="E85" t="inlineStr">
        <is>
          <t>X</t>
        </is>
      </c>
      <c r="F85" t="n">
        <v>0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1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1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3</v>
      </c>
      <c r="E89" t="inlineStr">
        <is>
          <t>X</t>
        </is>
      </c>
      <c r="F89" t="n">
        <v>1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4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3</v>
      </c>
      <c r="E91" t="inlineStr">
        <is>
          <t>X</t>
        </is>
      </c>
      <c r="F91" t="n">
        <v>0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5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4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0</v>
      </c>
      <c r="E94" t="inlineStr">
        <is>
          <t>X</t>
        </is>
      </c>
      <c r="F94" t="n">
        <v>2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2</v>
      </c>
      <c r="E96" t="inlineStr">
        <is>
          <t>X</t>
        </is>
      </c>
      <c r="F96" t="n">
        <v>1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3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1</v>
      </c>
      <c r="E100" t="inlineStr">
        <is>
          <t>X</t>
        </is>
      </c>
      <c r="F100" t="n">
        <v>2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0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1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1</v>
      </c>
      <c r="E102" t="inlineStr">
        <is>
          <t>X</t>
        </is>
      </c>
      <c r="F102" t="n">
        <v>1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2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1</v>
      </c>
      <c r="E105" t="inlineStr">
        <is>
          <t>X</t>
        </is>
      </c>
      <c r="F105" t="n">
        <v>2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3</v>
      </c>
      <c r="E106" t="inlineStr">
        <is>
          <t>X</t>
        </is>
      </c>
      <c r="F106" t="n">
        <v>1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3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1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27" zoomScaleNormal="100" workbookViewId="0">
      <selection activeCell="C51" sqref="C51"/>
    </sheetView>
  </sheetViews>
  <sheetFormatPr baseColWidth="8" defaultColWidth="8.570312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11.140625" customWidth="1" min="10" max="10"/>
  </cols>
  <sheetData>
    <row r="1" ht="21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>
        <v>2</v>
      </c>
      <c r="E5" s="14" t="inlineStr">
        <is>
          <t>X</t>
        </is>
      </c>
      <c r="F5" s="13" t="n">
        <v>0</v>
      </c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>
        <v>2</v>
      </c>
      <c r="E6" s="14" t="inlineStr">
        <is>
          <t>X</t>
        </is>
      </c>
      <c r="F6" s="13" t="n">
        <v>1</v>
      </c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>
        <v>1</v>
      </c>
      <c r="E7" s="14" t="inlineStr">
        <is>
          <t>X</t>
        </is>
      </c>
      <c r="F7" s="13" t="n">
        <v>0</v>
      </c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>
        <v>2</v>
      </c>
      <c r="E8" s="14" t="inlineStr">
        <is>
          <t>X</t>
        </is>
      </c>
      <c r="F8" s="13" t="n">
        <v>1</v>
      </c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1</v>
      </c>
      <c r="E9" s="14" t="inlineStr">
        <is>
          <t>X</t>
        </is>
      </c>
      <c r="F9" s="13" t="n">
        <v>2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2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2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2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5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1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1</v>
      </c>
      <c r="E16" s="14" t="inlineStr">
        <is>
          <t>X</t>
        </is>
      </c>
      <c r="F16" s="13" t="n">
        <v>1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3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2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0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2</v>
      </c>
      <c r="E20" s="14" t="inlineStr">
        <is>
          <t>X</t>
        </is>
      </c>
      <c r="F20" s="13" t="n">
        <v>0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2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3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2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4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1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2</v>
      </c>
      <c r="E27" s="14" t="inlineStr">
        <is>
          <t>X</t>
        </is>
      </c>
      <c r="F27" s="13" t="n">
        <v>1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0</v>
      </c>
      <c r="E28" s="14" t="inlineStr">
        <is>
          <t>X</t>
        </is>
      </c>
      <c r="F28" s="13" t="n">
        <v>2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0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2</v>
      </c>
      <c r="E30" s="14" t="inlineStr">
        <is>
          <t>X</t>
        </is>
      </c>
      <c r="F30" s="13" t="n">
        <v>0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2</v>
      </c>
      <c r="E31" s="14" t="inlineStr">
        <is>
          <t>X</t>
        </is>
      </c>
      <c r="F31" s="13" t="n">
        <v>0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2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2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3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1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2</v>
      </c>
      <c r="E37" s="14" t="inlineStr">
        <is>
          <t>X</t>
        </is>
      </c>
      <c r="F37" s="13" t="n">
        <v>0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2</v>
      </c>
      <c r="E38" s="14" t="inlineStr">
        <is>
          <t>X</t>
        </is>
      </c>
      <c r="F38" s="13" t="n">
        <v>1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2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0</v>
      </c>
      <c r="E40" s="14" t="inlineStr">
        <is>
          <t>X</t>
        </is>
      </c>
      <c r="F40" s="13" t="n">
        <v>2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3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2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2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0</v>
      </c>
      <c r="E44" s="14" t="inlineStr">
        <is>
          <t>X</t>
        </is>
      </c>
      <c r="F44" s="13" t="n">
        <v>2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5</v>
      </c>
      <c r="E45" s="14" t="inlineStr">
        <is>
          <t>X</t>
        </is>
      </c>
      <c r="F45" s="13" t="n">
        <v>1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2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1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0</v>
      </c>
      <c r="E48" s="14" t="inlineStr">
        <is>
          <t>X</t>
        </is>
      </c>
      <c r="F48" s="13" t="n">
        <v>2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3</v>
      </c>
      <c r="E50" s="14" t="inlineStr">
        <is>
          <t>X</t>
        </is>
      </c>
      <c r="F50" s="13" t="n">
        <v>0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0</v>
      </c>
      <c r="E51" s="14" t="inlineStr">
        <is>
          <t>X</t>
        </is>
      </c>
      <c r="F51" s="13" t="n">
        <v>2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2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1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0</v>
      </c>
      <c r="E55" s="14" t="inlineStr">
        <is>
          <t>X</t>
        </is>
      </c>
      <c r="F55" s="13" t="n">
        <v>2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3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0</v>
      </c>
      <c r="E57" s="14" t="inlineStr">
        <is>
          <t>X</t>
        </is>
      </c>
      <c r="F57" s="13" t="n">
        <v>1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0</v>
      </c>
      <c r="E58" s="14" t="inlineStr">
        <is>
          <t>X</t>
        </is>
      </c>
      <c r="F58" s="13" t="n">
        <v>2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0</v>
      </c>
      <c r="E59" s="14" t="inlineStr">
        <is>
          <t>X</t>
        </is>
      </c>
      <c r="F59" s="13" t="n">
        <v>1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1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0</v>
      </c>
      <c r="E63" s="14" t="inlineStr">
        <is>
          <t>X</t>
        </is>
      </c>
      <c r="F63" s="13" t="n">
        <v>2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2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2</v>
      </c>
      <c r="E66" s="14" t="inlineStr">
        <is>
          <t>X</t>
        </is>
      </c>
      <c r="F66" s="13" t="n">
        <v>0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1</v>
      </c>
      <c r="E67" s="14" t="inlineStr">
        <is>
          <t>X</t>
        </is>
      </c>
      <c r="F67" s="13" t="n">
        <v>2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1</v>
      </c>
      <c r="E68" s="14" t="inlineStr">
        <is>
          <t>X</t>
        </is>
      </c>
      <c r="F68" s="13" t="n">
        <v>1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1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3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0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3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3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1</v>
      </c>
      <c r="E75" s="14" t="inlineStr">
        <is>
          <t>X</t>
        </is>
      </c>
      <c r="F75" s="13" t="n">
        <v>1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1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0</v>
      </c>
      <c r="E77" t="inlineStr">
        <is>
          <t>X</t>
        </is>
      </c>
      <c r="F77" t="n">
        <v>2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2</v>
      </c>
      <c r="E78" t="inlineStr">
        <is>
          <t>X</t>
        </is>
      </c>
      <c r="F78" t="n">
        <v>1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2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1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1</v>
      </c>
      <c r="E83" t="inlineStr">
        <is>
          <t>X</t>
        </is>
      </c>
      <c r="F83" t="n">
        <v>0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2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2</v>
      </c>
      <c r="E86" t="inlineStr">
        <is>
          <t>X</t>
        </is>
      </c>
      <c r="F86" t="n">
        <v>1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1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1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3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2</v>
      </c>
      <c r="E91" t="inlineStr">
        <is>
          <t>X</t>
        </is>
      </c>
      <c r="F91" t="n">
        <v>0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2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3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0</v>
      </c>
      <c r="E94" t="inlineStr">
        <is>
          <t>X</t>
        </is>
      </c>
      <c r="F94" t="n">
        <v>1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1</v>
      </c>
      <c r="E96" t="inlineStr">
        <is>
          <t>X</t>
        </is>
      </c>
      <c r="F96" t="n">
        <v>1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2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1</v>
      </c>
      <c r="E100" t="inlineStr">
        <is>
          <t>X</t>
        </is>
      </c>
      <c r="F100" t="n">
        <v>1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2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0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0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1</v>
      </c>
      <c r="E106" t="inlineStr">
        <is>
          <t>X</t>
        </is>
      </c>
      <c r="F106" t="n">
        <v>2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2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1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30" zoomScaleNormal="100" workbookViewId="0">
      <selection activeCell="D50" sqref="D50"/>
    </sheetView>
  </sheetViews>
  <sheetFormatPr baseColWidth="8" defaultColWidth="8.7109375" defaultRowHeight="12.75"/>
  <cols>
    <col width="11.28515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19.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19.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/>
      <c r="E5" s="14" t="inlineStr">
        <is>
          <t>X</t>
        </is>
      </c>
      <c r="F5" s="13" t="n"/>
      <c r="G5" s="12" t="inlineStr">
        <is>
          <t>África do Sul</t>
        </is>
      </c>
      <c r="H5" s="15" t="n">
        <v>46184</v>
      </c>
      <c r="I5" s="16" t="n">
        <v>46184</v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/>
      <c r="E6" s="14" t="inlineStr">
        <is>
          <t>X</t>
        </is>
      </c>
      <c r="F6" s="13" t="n"/>
      <c r="G6" s="12" t="inlineStr">
        <is>
          <t>Tchéquia</t>
        </is>
      </c>
      <c r="H6" s="15" t="n">
        <v>46184</v>
      </c>
      <c r="I6" s="16" t="n">
        <v>46184</v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/>
      <c r="E7" s="14" t="inlineStr">
        <is>
          <t>X</t>
        </is>
      </c>
      <c r="F7" s="13" t="n"/>
      <c r="G7" s="12" t="inlineStr">
        <is>
          <t>Bósnia</t>
        </is>
      </c>
      <c r="H7" s="15" t="n">
        <v>46185</v>
      </c>
      <c r="I7" s="16" t="n">
        <v>46185</v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/>
      <c r="E8" s="14" t="inlineStr">
        <is>
          <t>X</t>
        </is>
      </c>
      <c r="F8" s="13" t="n"/>
      <c r="G8" s="12" t="inlineStr">
        <is>
          <t>Paraguai</t>
        </is>
      </c>
      <c r="H8" s="15" t="n">
        <v>46185</v>
      </c>
      <c r="I8" s="16" t="n">
        <v>46185</v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0</v>
      </c>
      <c r="E9" s="14" t="inlineStr">
        <is>
          <t>X</t>
        </is>
      </c>
      <c r="F9" s="13" t="n">
        <v>1</v>
      </c>
      <c r="G9" s="12" t="inlineStr">
        <is>
          <t>Turquia</t>
        </is>
      </c>
      <c r="H9" s="15" t="n">
        <v>46186</v>
      </c>
      <c r="I9" s="16" t="n">
        <v>46186</v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2</v>
      </c>
      <c r="G10" s="12" t="inlineStr">
        <is>
          <t>Suíça</t>
        </is>
      </c>
      <c r="H10" s="15" t="n">
        <v>46186</v>
      </c>
      <c r="I10" s="16" t="n">
        <v>46186</v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2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 t="n">
        <v>46186</v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3</v>
      </c>
      <c r="G12" s="12" t="inlineStr">
        <is>
          <t>Escócia</t>
        </is>
      </c>
      <c r="H12" s="15" t="n">
        <v>46186</v>
      </c>
      <c r="I12" s="16" t="n">
        <v>46186</v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4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 t="n">
        <v>46187</v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1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 t="n">
        <v>46187</v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3</v>
      </c>
      <c r="G15" s="12" t="inlineStr">
        <is>
          <t>Equador</t>
        </is>
      </c>
      <c r="H15" s="15" t="n">
        <v>46187</v>
      </c>
      <c r="I15" s="16" t="n">
        <v>46187</v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2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 t="n">
        <v>46187</v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5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 t="n">
        <v>46188</v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3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 t="n">
        <v>46188</v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1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 t="n">
        <v>46188</v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1</v>
      </c>
      <c r="E20" s="14" t="inlineStr">
        <is>
          <t>X</t>
        </is>
      </c>
      <c r="F20" s="13" t="n">
        <v>1</v>
      </c>
      <c r="G20" s="12" t="inlineStr">
        <is>
          <t>Nova Zelândia</t>
        </is>
      </c>
      <c r="H20" s="15" t="n">
        <v>46188</v>
      </c>
      <c r="I20" s="16" t="n">
        <v>46188</v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2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 t="n">
        <v>46189</v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1</v>
      </c>
      <c r="E22" s="14" t="inlineStr">
        <is>
          <t>X</t>
        </is>
      </c>
      <c r="F22" s="13" t="n">
        <v>4</v>
      </c>
      <c r="G22" s="12" t="inlineStr">
        <is>
          <t>Noruega</t>
        </is>
      </c>
      <c r="H22" s="15" t="n">
        <v>46189</v>
      </c>
      <c r="I22" s="16" t="n">
        <v>46189</v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1</v>
      </c>
      <c r="G23" s="12" t="inlineStr">
        <is>
          <t>Argélia</t>
        </is>
      </c>
      <c r="H23" s="15" t="n">
        <v>46189</v>
      </c>
      <c r="I23" s="16" t="n">
        <v>46189</v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3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 t="n">
        <v>46190</v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4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 t="n">
        <v>46190</v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3</v>
      </c>
      <c r="E26" s="14" t="inlineStr">
        <is>
          <t>X</t>
        </is>
      </c>
      <c r="F26" s="13" t="n">
        <v>1</v>
      </c>
      <c r="G26" s="12" t="inlineStr">
        <is>
          <t>Croácia</t>
        </is>
      </c>
      <c r="H26" s="15" t="n">
        <v>46190</v>
      </c>
      <c r="I26" s="16" t="n">
        <v>46190</v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2</v>
      </c>
      <c r="E27" s="14" t="inlineStr">
        <is>
          <t>X</t>
        </is>
      </c>
      <c r="F27" s="13" t="n">
        <v>1</v>
      </c>
      <c r="G27" s="12" t="inlineStr">
        <is>
          <t>Panamá</t>
        </is>
      </c>
      <c r="H27" s="15" t="n">
        <v>46190</v>
      </c>
      <c r="I27" s="16" t="n">
        <v>46190</v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1</v>
      </c>
      <c r="E28" s="14" t="inlineStr">
        <is>
          <t>X</t>
        </is>
      </c>
      <c r="F28" s="13" t="n">
        <v>4</v>
      </c>
      <c r="G28" s="12" t="inlineStr">
        <is>
          <t>Colômbia</t>
        </is>
      </c>
      <c r="H28" s="15" t="n">
        <v>46190</v>
      </c>
      <c r="I28" s="16" t="n">
        <v>46190</v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5</v>
      </c>
      <c r="E29" s="14" t="inlineStr">
        <is>
          <t>X</t>
        </is>
      </c>
      <c r="F29" s="13" t="n">
        <v>0</v>
      </c>
      <c r="G29" s="12" t="inlineStr">
        <is>
          <t>África do Sul</t>
        </is>
      </c>
      <c r="H29" s="15" t="n">
        <v>46191</v>
      </c>
      <c r="I29" s="16" t="n">
        <v>46191</v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2</v>
      </c>
      <c r="E30" s="14" t="inlineStr">
        <is>
          <t>X</t>
        </is>
      </c>
      <c r="F30" s="13" t="n">
        <v>2</v>
      </c>
      <c r="G30" s="12" t="inlineStr">
        <is>
          <t>Bósnia</t>
        </is>
      </c>
      <c r="H30" s="15" t="n">
        <v>46191</v>
      </c>
      <c r="I30" s="16" t="n">
        <v>46191</v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2</v>
      </c>
      <c r="E31" s="14" t="inlineStr">
        <is>
          <t>X</t>
        </is>
      </c>
      <c r="F31" s="13" t="n">
        <v>1</v>
      </c>
      <c r="G31" s="12" t="inlineStr">
        <is>
          <t>Catar</t>
        </is>
      </c>
      <c r="H31" s="15" t="n">
        <v>46191</v>
      </c>
      <c r="I31" s="16" t="n">
        <v>46191</v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0</v>
      </c>
      <c r="E32" s="14" t="inlineStr">
        <is>
          <t>X</t>
        </is>
      </c>
      <c r="F32" s="13" t="n">
        <v>0</v>
      </c>
      <c r="G32" s="12" t="inlineStr">
        <is>
          <t>Coreia do Sul</t>
        </is>
      </c>
      <c r="H32" s="15" t="n">
        <v>46191</v>
      </c>
      <c r="I32" s="16" t="n">
        <v>46191</v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3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 t="n">
        <v>46192</v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2</v>
      </c>
      <c r="G34" s="12" t="inlineStr">
        <is>
          <t>Escócia</t>
        </is>
      </c>
      <c r="H34" s="15" t="n">
        <v>46192</v>
      </c>
      <c r="I34" s="16" t="n">
        <v>46192</v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4</v>
      </c>
      <c r="E35" s="14" t="inlineStr">
        <is>
          <t>X</t>
        </is>
      </c>
      <c r="F35" s="13" t="n">
        <v>1</v>
      </c>
      <c r="G35" s="12" t="inlineStr">
        <is>
          <t>Haiti</t>
        </is>
      </c>
      <c r="H35" s="15" t="n">
        <v>46192</v>
      </c>
      <c r="I35" s="16" t="n">
        <v>46192</v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2</v>
      </c>
      <c r="E36" s="14" t="inlineStr">
        <is>
          <t>X</t>
        </is>
      </c>
      <c r="F36" s="13" t="n">
        <v>2</v>
      </c>
      <c r="G36" s="12" t="inlineStr">
        <is>
          <t>Paraguai</t>
        </is>
      </c>
      <c r="H36" s="15" t="n">
        <v>46193</v>
      </c>
      <c r="I36" s="16" t="n">
        <v>46193</v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2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 t="n">
        <v>46193</v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4</v>
      </c>
      <c r="E38" s="14" t="inlineStr">
        <is>
          <t>X</t>
        </is>
      </c>
      <c r="F38" s="13" t="n">
        <v>1</v>
      </c>
      <c r="G38" s="12" t="inlineStr">
        <is>
          <t>Costa do Marfim</t>
        </is>
      </c>
      <c r="H38" s="15" t="n">
        <v>46193</v>
      </c>
      <c r="I38" s="16" t="n">
        <v>46193</v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5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 t="n">
        <v>46193</v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0</v>
      </c>
      <c r="E40" s="14" t="inlineStr">
        <is>
          <t>X</t>
        </is>
      </c>
      <c r="F40" s="13" t="n">
        <v>3</v>
      </c>
      <c r="G40" s="12" t="inlineStr">
        <is>
          <t>Japão</t>
        </is>
      </c>
      <c r="H40" s="15" t="n">
        <v>46194</v>
      </c>
      <c r="I40" s="16" t="n">
        <v>46194</v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4</v>
      </c>
      <c r="E41" s="14" t="inlineStr">
        <is>
          <t>X</t>
        </is>
      </c>
      <c r="F41" s="13" t="n">
        <v>1</v>
      </c>
      <c r="G41" s="12" t="inlineStr">
        <is>
          <t>Arábia Saudita</t>
        </is>
      </c>
      <c r="H41" s="15" t="n">
        <v>46194</v>
      </c>
      <c r="I41" s="16" t="n">
        <v>46194</v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2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 t="n">
        <v>46194</v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3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 t="n">
        <v>46194</v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2</v>
      </c>
      <c r="E44" s="14" t="inlineStr">
        <is>
          <t>X</t>
        </is>
      </c>
      <c r="F44" s="13" t="n">
        <v>2</v>
      </c>
      <c r="G44" s="12" t="inlineStr">
        <is>
          <t>Egito</t>
        </is>
      </c>
      <c r="H44" s="15" t="n">
        <v>46194</v>
      </c>
      <c r="I44" s="16" t="n">
        <v>46194</v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3</v>
      </c>
      <c r="E45" s="14" t="inlineStr">
        <is>
          <t>X</t>
        </is>
      </c>
      <c r="F45" s="13" t="n">
        <v>1</v>
      </c>
      <c r="G45" s="12" t="inlineStr">
        <is>
          <t>Iraque</t>
        </is>
      </c>
      <c r="H45" s="15" t="n">
        <v>46195</v>
      </c>
      <c r="I45" s="16" t="n">
        <v>46195</v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1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 t="n">
        <v>46195</v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2</v>
      </c>
      <c r="G47" s="12" t="inlineStr">
        <is>
          <t>Áustria</t>
        </is>
      </c>
      <c r="H47" s="15" t="n">
        <v>46195</v>
      </c>
      <c r="I47" s="16" t="n">
        <v>46195</v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0</v>
      </c>
      <c r="E48" s="14" t="inlineStr">
        <is>
          <t>X</t>
        </is>
      </c>
      <c r="F48" s="13" t="n">
        <v>0</v>
      </c>
      <c r="G48" s="12" t="inlineStr">
        <is>
          <t>Argélia</t>
        </is>
      </c>
      <c r="H48" s="15" t="n">
        <v>46196</v>
      </c>
      <c r="I48" s="16" t="n">
        <v>46196</v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 t="n">
        <v>46196</v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2</v>
      </c>
      <c r="E50" s="14" t="inlineStr">
        <is>
          <t>X</t>
        </is>
      </c>
      <c r="F50" s="13" t="n">
        <v>1</v>
      </c>
      <c r="G50" s="12" t="inlineStr">
        <is>
          <t>Gana</t>
        </is>
      </c>
      <c r="H50" s="15" t="n">
        <v>46196</v>
      </c>
      <c r="I50" s="16" t="n">
        <v>46196</v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1</v>
      </c>
      <c r="E51" s="14" t="inlineStr">
        <is>
          <t>X</t>
        </is>
      </c>
      <c r="F51" s="13" t="n">
        <v>4</v>
      </c>
      <c r="G51" s="12" t="inlineStr">
        <is>
          <t>Croácia</t>
        </is>
      </c>
      <c r="H51" s="15" t="n">
        <v>46196</v>
      </c>
      <c r="I51" s="16" t="n">
        <v>46196</v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3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 t="n">
        <v>46196</v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2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 t="n">
        <v>46197</v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 t="n">
        <v>46197</v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1</v>
      </c>
      <c r="E55" s="14" t="inlineStr">
        <is>
          <t>X</t>
        </is>
      </c>
      <c r="F55" s="13" t="n">
        <v>3</v>
      </c>
      <c r="G55" s="18" t="inlineStr">
        <is>
          <t>Brasil</t>
        </is>
      </c>
      <c r="H55" s="15" t="n">
        <v>46197</v>
      </c>
      <c r="I55" s="16" t="n">
        <v>46197</v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2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 t="n">
        <v>46197</v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1</v>
      </c>
      <c r="E57" s="14" t="inlineStr">
        <is>
          <t>X</t>
        </is>
      </c>
      <c r="F57" s="13" t="n">
        <v>1</v>
      </c>
      <c r="G57" s="12" t="inlineStr">
        <is>
          <t>México</t>
        </is>
      </c>
      <c r="H57" s="15" t="n">
        <v>46197</v>
      </c>
      <c r="I57" s="16" t="n">
        <v>46197</v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1</v>
      </c>
      <c r="E58" s="14" t="inlineStr">
        <is>
          <t>X</t>
        </is>
      </c>
      <c r="F58" s="13" t="n">
        <v>2</v>
      </c>
      <c r="G58" s="12" t="inlineStr">
        <is>
          <t>Coreia do Sul</t>
        </is>
      </c>
      <c r="H58" s="15" t="n">
        <v>46197</v>
      </c>
      <c r="I58" s="16" t="n">
        <v>46197</v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0</v>
      </c>
      <c r="E59" s="14" t="inlineStr">
        <is>
          <t>X</t>
        </is>
      </c>
      <c r="F59" s="13" t="n">
        <v>0</v>
      </c>
      <c r="G59" s="12" t="inlineStr">
        <is>
          <t>Alemanha</t>
        </is>
      </c>
      <c r="H59" s="15" t="n">
        <v>46198</v>
      </c>
      <c r="I59" s="16" t="n">
        <v>46198</v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0</v>
      </c>
      <c r="G60" s="12" t="inlineStr">
        <is>
          <t>Costa do Marfim</t>
        </is>
      </c>
      <c r="H60" s="15" t="n">
        <v>46198</v>
      </c>
      <c r="I60" s="16" t="n">
        <v>46198</v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2</v>
      </c>
      <c r="G61" s="12" t="inlineStr">
        <is>
          <t>EUA</t>
        </is>
      </c>
      <c r="H61" s="15" t="n">
        <v>46198</v>
      </c>
      <c r="I61" s="16" t="n">
        <v>46198</v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3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 t="n">
        <v>46198</v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0</v>
      </c>
      <c r="E63" s="14" t="inlineStr">
        <is>
          <t>X</t>
        </is>
      </c>
      <c r="F63" s="13" t="n">
        <v>3</v>
      </c>
      <c r="G63" s="12" t="inlineStr">
        <is>
          <t>Holanda</t>
        </is>
      </c>
      <c r="H63" s="15" t="n">
        <v>46198</v>
      </c>
      <c r="I63" s="16" t="n">
        <v>46198</v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1</v>
      </c>
      <c r="E64" s="14" t="inlineStr">
        <is>
          <t>X</t>
        </is>
      </c>
      <c r="F64" s="13" t="n">
        <v>0</v>
      </c>
      <c r="G64" s="12" t="inlineStr">
        <is>
          <t>Suécia</t>
        </is>
      </c>
      <c r="H64" s="15" t="n">
        <v>46198</v>
      </c>
      <c r="I64" s="16" t="n">
        <v>46198</v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 t="n">
        <v>46199</v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4</v>
      </c>
      <c r="E66" s="14" t="inlineStr">
        <is>
          <t>X</t>
        </is>
      </c>
      <c r="F66" s="13" t="n">
        <v>1</v>
      </c>
      <c r="G66" s="12" t="inlineStr">
        <is>
          <t>Iraque</t>
        </is>
      </c>
      <c r="H66" s="15" t="n">
        <v>46199</v>
      </c>
      <c r="I66" s="16" t="n">
        <v>46199</v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2</v>
      </c>
      <c r="E67" s="14" t="inlineStr">
        <is>
          <t>X</t>
        </is>
      </c>
      <c r="F67" s="13" t="n">
        <v>2</v>
      </c>
      <c r="G67" s="12" t="inlineStr">
        <is>
          <t>Espanha</t>
        </is>
      </c>
      <c r="H67" s="15" t="n">
        <v>46199</v>
      </c>
      <c r="I67" s="16" t="n">
        <v>46199</v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2</v>
      </c>
      <c r="E68" s="14" t="inlineStr">
        <is>
          <t>X</t>
        </is>
      </c>
      <c r="F68" s="13" t="n">
        <v>2</v>
      </c>
      <c r="G68" s="12" t="inlineStr">
        <is>
          <t>Arábia Saudita</t>
        </is>
      </c>
      <c r="H68" s="15" t="n">
        <v>46199</v>
      </c>
      <c r="I68" s="16" t="n">
        <v>46199</v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1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 t="n">
        <v>46199</v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1</v>
      </c>
      <c r="E70" s="14" t="inlineStr">
        <is>
          <t>X</t>
        </is>
      </c>
      <c r="F70" s="13" t="n">
        <v>4</v>
      </c>
      <c r="G70" s="12" t="inlineStr">
        <is>
          <t>Bélgica</t>
        </is>
      </c>
      <c r="H70" s="15" t="n">
        <v>46199</v>
      </c>
      <c r="I70" s="16" t="n">
        <v>46199</v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0</v>
      </c>
      <c r="E71" s="14" t="inlineStr">
        <is>
          <t>X</t>
        </is>
      </c>
      <c r="F71" s="13" t="n">
        <v>2</v>
      </c>
      <c r="G71" s="12" t="inlineStr">
        <is>
          <t>Áustria</t>
        </is>
      </c>
      <c r="H71" s="15" t="n">
        <v>46200</v>
      </c>
      <c r="I71" s="16" t="n">
        <v>46200</v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4</v>
      </c>
      <c r="G72" s="12" t="inlineStr">
        <is>
          <t>Argentina</t>
        </is>
      </c>
      <c r="H72" s="15" t="n">
        <v>46200</v>
      </c>
      <c r="I72" s="16" t="n">
        <v>46200</v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3</v>
      </c>
      <c r="G73" s="12" t="inlineStr">
        <is>
          <t>Inglaterra</t>
        </is>
      </c>
      <c r="H73" s="15" t="n">
        <v>46200</v>
      </c>
      <c r="I73" s="16" t="n">
        <v>46200</v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1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 t="n">
        <v>46200</v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0</v>
      </c>
      <c r="E75" s="14" t="inlineStr">
        <is>
          <t>X</t>
        </is>
      </c>
      <c r="F75" s="13" t="n">
        <v>0</v>
      </c>
      <c r="G75" s="12" t="inlineStr">
        <is>
          <t>Uzbequistão</t>
        </is>
      </c>
      <c r="H75" s="15" t="n">
        <v>46200</v>
      </c>
      <c r="I75" s="16" t="n">
        <v>46200</v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1</v>
      </c>
      <c r="G76" s="12" t="inlineStr">
        <is>
          <t>Portugal</t>
        </is>
      </c>
      <c r="H76" s="15" t="n">
        <v>46200</v>
      </c>
      <c r="I76" s="16" t="n">
        <v>46200</v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0</v>
      </c>
      <c r="E77" t="inlineStr">
        <is>
          <t>X</t>
        </is>
      </c>
      <c r="F77" t="n">
        <v>1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2</v>
      </c>
      <c r="E78" t="inlineStr">
        <is>
          <t>X</t>
        </is>
      </c>
      <c r="F78" t="n">
        <v>2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2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3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1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0</v>
      </c>
      <c r="E82" t="inlineStr">
        <is>
          <t>X</t>
        </is>
      </c>
      <c r="F82" t="n">
        <v>2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2</v>
      </c>
      <c r="E83" t="inlineStr">
        <is>
          <t>X</t>
        </is>
      </c>
      <c r="F83" t="n">
        <v>2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3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3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0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1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4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2</v>
      </c>
      <c r="E91" t="inlineStr">
        <is>
          <t>X</t>
        </is>
      </c>
      <c r="F91" t="n">
        <v>0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5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1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3</v>
      </c>
      <c r="E95" t="inlineStr">
        <is>
          <t>X</t>
        </is>
      </c>
      <c r="F95" t="n">
        <v>2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2</v>
      </c>
      <c r="E96" t="inlineStr">
        <is>
          <t>X</t>
        </is>
      </c>
      <c r="F96" t="n">
        <v>2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2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1</v>
      </c>
      <c r="E100" t="inlineStr">
        <is>
          <t>X</t>
        </is>
      </c>
      <c r="F100" t="n">
        <v>1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2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0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1</v>
      </c>
      <c r="E102" t="inlineStr">
        <is>
          <t>X</t>
        </is>
      </c>
      <c r="F102" t="n">
        <v>0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1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2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2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E107" t="inlineStr">
        <is>
          <t>X</t>
        </is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E108" t="inlineStr">
        <is>
          <t>X</t>
        </is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33" zoomScaleNormal="100" workbookViewId="0">
      <selection activeCell="D51" sqref="D51"/>
    </sheetView>
  </sheetViews>
  <sheetFormatPr baseColWidth="8" defaultColWidth="8.7109375" defaultRowHeight="12.75"/>
  <cols>
    <col width="11.28515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19.5" customHeight="1">
      <c r="A2" s="19" t="inlineStr">
        <is>
          <t>Nome:</t>
        </is>
      </c>
      <c r="B2" s="84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19.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20" t="inlineStr">
        <is>
          <t>México</t>
        </is>
      </c>
      <c r="D5" s="21" t="n">
        <v>2</v>
      </c>
      <c r="E5" s="22" t="inlineStr">
        <is>
          <t>X</t>
        </is>
      </c>
      <c r="F5" s="21" t="n">
        <v>0</v>
      </c>
      <c r="G5" s="20" t="inlineStr">
        <is>
          <t>África do Sul</t>
        </is>
      </c>
      <c r="H5" s="23" t="n">
        <v>46184</v>
      </c>
      <c r="I5" s="24" t="n">
        <v>46184</v>
      </c>
      <c r="J5" s="118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20" t="inlineStr">
        <is>
          <t>Coreia do Sul</t>
        </is>
      </c>
      <c r="D6" s="21" t="n">
        <v>2</v>
      </c>
      <c r="E6" s="22" t="inlineStr">
        <is>
          <t>X</t>
        </is>
      </c>
      <c r="F6" s="21" t="n">
        <v>1</v>
      </c>
      <c r="G6" s="20" t="inlineStr">
        <is>
          <t>Tchéquia</t>
        </is>
      </c>
      <c r="H6" s="23" t="n">
        <v>46184</v>
      </c>
      <c r="I6" s="24" t="n">
        <v>46184</v>
      </c>
      <c r="J6" s="118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20" t="inlineStr">
        <is>
          <t>Canadá</t>
        </is>
      </c>
      <c r="D7" s="21" t="n"/>
      <c r="E7" s="22" t="inlineStr">
        <is>
          <t>X</t>
        </is>
      </c>
      <c r="F7" s="21" t="n"/>
      <c r="G7" s="20" t="inlineStr">
        <is>
          <t>Bósnia</t>
        </is>
      </c>
      <c r="H7" s="23" t="n">
        <v>46185</v>
      </c>
      <c r="I7" s="24" t="n">
        <v>46185</v>
      </c>
      <c r="J7" s="118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20" t="inlineStr">
        <is>
          <t>EUA</t>
        </is>
      </c>
      <c r="D8" s="21" t="n"/>
      <c r="E8" s="22" t="inlineStr">
        <is>
          <t>X</t>
        </is>
      </c>
      <c r="F8" s="21" t="n"/>
      <c r="G8" s="20" t="inlineStr">
        <is>
          <t>Paraguai</t>
        </is>
      </c>
      <c r="H8" s="23" t="n">
        <v>46185</v>
      </c>
      <c r="I8" s="24" t="n">
        <v>46185</v>
      </c>
      <c r="J8" s="118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1</v>
      </c>
      <c r="E9" s="14" t="inlineStr">
        <is>
          <t>X</t>
        </is>
      </c>
      <c r="F9" s="13" t="n">
        <v>1</v>
      </c>
      <c r="G9" s="12" t="inlineStr">
        <is>
          <t>Turquia</t>
        </is>
      </c>
      <c r="H9" s="15" t="n">
        <v>46186</v>
      </c>
      <c r="I9" s="16" t="n">
        <v>46186</v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1</v>
      </c>
      <c r="E10" s="14" t="inlineStr">
        <is>
          <t>X</t>
        </is>
      </c>
      <c r="F10" s="13" t="n">
        <v>2</v>
      </c>
      <c r="G10" s="12" t="inlineStr">
        <is>
          <t>Suíça</t>
        </is>
      </c>
      <c r="H10" s="15" t="n">
        <v>46186</v>
      </c>
      <c r="I10" s="16" t="n">
        <v>46186</v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3</v>
      </c>
      <c r="E11" s="14" t="inlineStr">
        <is>
          <t>X</t>
        </is>
      </c>
      <c r="F11" s="13" t="n">
        <v>0</v>
      </c>
      <c r="G11" s="12" t="inlineStr">
        <is>
          <t>Marrocos</t>
        </is>
      </c>
      <c r="H11" s="15" t="n">
        <v>46186</v>
      </c>
      <c r="I11" s="16" t="n">
        <v>46186</v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2</v>
      </c>
      <c r="G12" s="12" t="inlineStr">
        <is>
          <t>Escócia</t>
        </is>
      </c>
      <c r="H12" s="15" t="n">
        <v>46186</v>
      </c>
      <c r="I12" s="16" t="n">
        <v>46186</v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4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 t="n">
        <v>46187</v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 t="n">
        <v>46187</v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1</v>
      </c>
      <c r="G15" s="12" t="inlineStr">
        <is>
          <t>Equador</t>
        </is>
      </c>
      <c r="H15" s="15" t="n">
        <v>46187</v>
      </c>
      <c r="I15" s="16" t="n">
        <v>46187</v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1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 t="n">
        <v>46187</v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3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 t="n">
        <v>46188</v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2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 t="n">
        <v>46188</v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1</v>
      </c>
      <c r="E19" s="14" t="inlineStr">
        <is>
          <t>X</t>
        </is>
      </c>
      <c r="F19" s="13" t="n">
        <v>3</v>
      </c>
      <c r="G19" s="12" t="inlineStr">
        <is>
          <t>Uruguai</t>
        </is>
      </c>
      <c r="H19" s="15" t="n">
        <v>46188</v>
      </c>
      <c r="I19" s="16" t="n">
        <v>46188</v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1</v>
      </c>
      <c r="E20" s="14" t="inlineStr">
        <is>
          <t>X</t>
        </is>
      </c>
      <c r="F20" s="13" t="n">
        <v>1</v>
      </c>
      <c r="G20" s="12" t="inlineStr">
        <is>
          <t>Nova Zelândia</t>
        </is>
      </c>
      <c r="H20" s="15" t="n">
        <v>46188</v>
      </c>
      <c r="I20" s="16" t="n">
        <v>46188</v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3</v>
      </c>
      <c r="E21" s="14" t="inlineStr">
        <is>
          <t>X</t>
        </is>
      </c>
      <c r="F21" s="13" t="n">
        <v>0</v>
      </c>
      <c r="G21" s="12" t="inlineStr">
        <is>
          <t>Senegal</t>
        </is>
      </c>
      <c r="H21" s="15" t="n">
        <v>46189</v>
      </c>
      <c r="I21" s="16" t="n">
        <v>46189</v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1</v>
      </c>
      <c r="G22" s="12" t="inlineStr">
        <is>
          <t>Noruega</t>
        </is>
      </c>
      <c r="H22" s="15" t="n">
        <v>46189</v>
      </c>
      <c r="I22" s="16" t="n">
        <v>46189</v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3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 t="n">
        <v>46189</v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1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 t="n">
        <v>46190</v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2</v>
      </c>
      <c r="E25" s="14" t="inlineStr">
        <is>
          <t>X</t>
        </is>
      </c>
      <c r="F25" s="13" t="n">
        <v>1</v>
      </c>
      <c r="G25" s="12" t="inlineStr">
        <is>
          <t>RD Congo</t>
        </is>
      </c>
      <c r="H25" s="15" t="n">
        <v>46190</v>
      </c>
      <c r="I25" s="16" t="n">
        <v>46190</v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1</v>
      </c>
      <c r="G26" s="12" t="inlineStr">
        <is>
          <t>Croácia</t>
        </is>
      </c>
      <c r="H26" s="15" t="n">
        <v>46190</v>
      </c>
      <c r="I26" s="16" t="n">
        <v>46190</v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0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 t="n">
        <v>46190</v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0</v>
      </c>
      <c r="E28" s="14" t="inlineStr">
        <is>
          <t>X</t>
        </is>
      </c>
      <c r="F28" s="13" t="n">
        <v>1</v>
      </c>
      <c r="G28" s="12" t="inlineStr">
        <is>
          <t>Colômbia</t>
        </is>
      </c>
      <c r="H28" s="15" t="n">
        <v>46190</v>
      </c>
      <c r="I28" s="16" t="n">
        <v>46190</v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1</v>
      </c>
      <c r="G29" s="12" t="inlineStr">
        <is>
          <t>África do Sul</t>
        </is>
      </c>
      <c r="H29" s="15" t="n">
        <v>46191</v>
      </c>
      <c r="I29" s="16" t="n">
        <v>46191</v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1</v>
      </c>
      <c r="E30" s="14" t="inlineStr">
        <is>
          <t>X</t>
        </is>
      </c>
      <c r="F30" s="13" t="n">
        <v>0</v>
      </c>
      <c r="G30" s="12" t="inlineStr">
        <is>
          <t>Bósnia</t>
        </is>
      </c>
      <c r="H30" s="15" t="n">
        <v>46191</v>
      </c>
      <c r="I30" s="16" t="n">
        <v>46191</v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2</v>
      </c>
      <c r="E31" s="14" t="inlineStr">
        <is>
          <t>X</t>
        </is>
      </c>
      <c r="F31" s="13" t="n">
        <v>0</v>
      </c>
      <c r="G31" s="12" t="inlineStr">
        <is>
          <t>Catar</t>
        </is>
      </c>
      <c r="H31" s="15" t="n">
        <v>46191</v>
      </c>
      <c r="I31" s="16" t="n">
        <v>46191</v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2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 t="n">
        <v>46191</v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1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 t="n">
        <v>46192</v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1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 t="n">
        <v>46192</v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3</v>
      </c>
      <c r="E35" s="14" t="inlineStr">
        <is>
          <t>X</t>
        </is>
      </c>
      <c r="F35" s="13" t="n">
        <v>1</v>
      </c>
      <c r="G35" s="12" t="inlineStr">
        <is>
          <t>Haiti</t>
        </is>
      </c>
      <c r="H35" s="15" t="n">
        <v>46192</v>
      </c>
      <c r="I35" s="16" t="n">
        <v>46192</v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0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 t="n">
        <v>46193</v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1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 t="n">
        <v>46193</v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4</v>
      </c>
      <c r="E38" s="14" t="inlineStr">
        <is>
          <t>X</t>
        </is>
      </c>
      <c r="F38" s="13" t="n">
        <v>0</v>
      </c>
      <c r="G38" s="12" t="inlineStr">
        <is>
          <t>Costa do Marfim</t>
        </is>
      </c>
      <c r="H38" s="15" t="n">
        <v>46193</v>
      </c>
      <c r="I38" s="16" t="n">
        <v>46193</v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0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 t="n">
        <v>46193</v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0</v>
      </c>
      <c r="E40" s="14" t="inlineStr">
        <is>
          <t>X</t>
        </is>
      </c>
      <c r="F40" s="13" t="n">
        <v>1</v>
      </c>
      <c r="G40" s="12" t="inlineStr">
        <is>
          <t>Japão</t>
        </is>
      </c>
      <c r="H40" s="15" t="n">
        <v>46194</v>
      </c>
      <c r="I40" s="16" t="n">
        <v>46194</v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2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 t="n">
        <v>46194</v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2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 t="n">
        <v>46194</v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2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 t="n">
        <v>46194</v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0</v>
      </c>
      <c r="E44" s="14" t="inlineStr">
        <is>
          <t>X</t>
        </is>
      </c>
      <c r="F44" s="13" t="n">
        <v>0</v>
      </c>
      <c r="G44" s="12" t="inlineStr">
        <is>
          <t>Egito</t>
        </is>
      </c>
      <c r="H44" s="15" t="n">
        <v>46194</v>
      </c>
      <c r="I44" s="16" t="n">
        <v>46194</v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4</v>
      </c>
      <c r="E45" s="14" t="inlineStr">
        <is>
          <t>X</t>
        </is>
      </c>
      <c r="F45" s="13" t="n">
        <v>1</v>
      </c>
      <c r="G45" s="12" t="inlineStr">
        <is>
          <t>Iraque</t>
        </is>
      </c>
      <c r="H45" s="15" t="n">
        <v>46195</v>
      </c>
      <c r="I45" s="16" t="n">
        <v>46195</v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0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 t="n">
        <v>46195</v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3</v>
      </c>
      <c r="E47" s="14" t="inlineStr">
        <is>
          <t>X</t>
        </is>
      </c>
      <c r="F47" s="13" t="n">
        <v>1</v>
      </c>
      <c r="G47" s="12" t="inlineStr">
        <is>
          <t>Áustria</t>
        </is>
      </c>
      <c r="H47" s="15" t="n">
        <v>46195</v>
      </c>
      <c r="I47" s="16" t="n">
        <v>46195</v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0</v>
      </c>
      <c r="E48" s="14" t="inlineStr">
        <is>
          <t>X</t>
        </is>
      </c>
      <c r="F48" s="13" t="n">
        <v>0</v>
      </c>
      <c r="G48" s="12" t="inlineStr">
        <is>
          <t>Argélia</t>
        </is>
      </c>
      <c r="H48" s="15" t="n">
        <v>46196</v>
      </c>
      <c r="I48" s="16" t="n">
        <v>46196</v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 t="n">
        <v>46196</v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3</v>
      </c>
      <c r="E50" s="14" t="inlineStr">
        <is>
          <t>X</t>
        </is>
      </c>
      <c r="F50" s="13" t="n">
        <v>0</v>
      </c>
      <c r="G50" s="12" t="inlineStr">
        <is>
          <t>Gana</t>
        </is>
      </c>
      <c r="H50" s="15" t="n">
        <v>46196</v>
      </c>
      <c r="I50" s="16" t="n">
        <v>46196</v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0</v>
      </c>
      <c r="E51" s="14" t="inlineStr">
        <is>
          <t>X</t>
        </is>
      </c>
      <c r="F51" s="13" t="n">
        <v>1</v>
      </c>
      <c r="G51" s="12" t="inlineStr">
        <is>
          <t>Croácia</t>
        </is>
      </c>
      <c r="H51" s="15" t="n">
        <v>46196</v>
      </c>
      <c r="I51" s="16" t="n">
        <v>46196</v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2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 t="n">
        <v>46196</v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1</v>
      </c>
      <c r="E53" s="14" t="inlineStr">
        <is>
          <t>X</t>
        </is>
      </c>
      <c r="F53" s="13" t="n">
        <v>2</v>
      </c>
      <c r="G53" s="12" t="inlineStr">
        <is>
          <t>Canadá</t>
        </is>
      </c>
      <c r="H53" s="15" t="n">
        <v>46197</v>
      </c>
      <c r="I53" s="16" t="n">
        <v>46197</v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1</v>
      </c>
      <c r="G54" s="12" t="inlineStr">
        <is>
          <t>Catar</t>
        </is>
      </c>
      <c r="H54" s="15" t="n">
        <v>46197</v>
      </c>
      <c r="I54" s="16" t="n">
        <v>46197</v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0</v>
      </c>
      <c r="E55" s="14" t="inlineStr">
        <is>
          <t>X</t>
        </is>
      </c>
      <c r="F55" s="13" t="n">
        <v>3</v>
      </c>
      <c r="G55" s="18" t="inlineStr">
        <is>
          <t>Brasil</t>
        </is>
      </c>
      <c r="H55" s="15" t="n">
        <v>46197</v>
      </c>
      <c r="I55" s="16" t="n">
        <v>46197</v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2</v>
      </c>
      <c r="E56" s="14" t="inlineStr">
        <is>
          <t>X</t>
        </is>
      </c>
      <c r="F56" s="13" t="n">
        <v>1</v>
      </c>
      <c r="G56" s="12" t="inlineStr">
        <is>
          <t>Haiti</t>
        </is>
      </c>
      <c r="H56" s="15" t="n">
        <v>46197</v>
      </c>
      <c r="I56" s="16" t="n">
        <v>46197</v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1</v>
      </c>
      <c r="E57" s="14" t="inlineStr">
        <is>
          <t>X</t>
        </is>
      </c>
      <c r="F57" s="13" t="n">
        <v>2</v>
      </c>
      <c r="G57" s="12" t="inlineStr">
        <is>
          <t>México</t>
        </is>
      </c>
      <c r="H57" s="15" t="n">
        <v>46197</v>
      </c>
      <c r="I57" s="16" t="n">
        <v>46197</v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0</v>
      </c>
      <c r="E58" s="14" t="inlineStr">
        <is>
          <t>X</t>
        </is>
      </c>
      <c r="F58" s="13" t="n">
        <v>2</v>
      </c>
      <c r="G58" s="12" t="inlineStr">
        <is>
          <t>Coreia do Sul</t>
        </is>
      </c>
      <c r="H58" s="15" t="n">
        <v>46197</v>
      </c>
      <c r="I58" s="16" t="n">
        <v>46197</v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1</v>
      </c>
      <c r="E59" s="14" t="inlineStr">
        <is>
          <t>X</t>
        </is>
      </c>
      <c r="F59" s="13" t="n">
        <v>3</v>
      </c>
      <c r="G59" s="12" t="inlineStr">
        <is>
          <t>Alemanha</t>
        </is>
      </c>
      <c r="H59" s="15" t="n">
        <v>46198</v>
      </c>
      <c r="I59" s="16" t="n">
        <v>46198</v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1</v>
      </c>
      <c r="G60" s="12" t="inlineStr">
        <is>
          <t>Costa do Marfim</t>
        </is>
      </c>
      <c r="H60" s="15" t="n">
        <v>46198</v>
      </c>
      <c r="I60" s="16" t="n">
        <v>46198</v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2</v>
      </c>
      <c r="G61" s="12" t="inlineStr">
        <is>
          <t>EUA</t>
        </is>
      </c>
      <c r="H61" s="15" t="n">
        <v>46198</v>
      </c>
      <c r="I61" s="16" t="n">
        <v>46198</v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 t="n">
        <v>46198</v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1</v>
      </c>
      <c r="E63" s="14" t="inlineStr">
        <is>
          <t>X</t>
        </is>
      </c>
      <c r="F63" s="13" t="n">
        <v>1</v>
      </c>
      <c r="G63" s="12" t="inlineStr">
        <is>
          <t>Holanda</t>
        </is>
      </c>
      <c r="H63" s="15" t="n">
        <v>46198</v>
      </c>
      <c r="I63" s="16" t="n">
        <v>46198</v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1</v>
      </c>
      <c r="E64" s="14" t="inlineStr">
        <is>
          <t>X</t>
        </is>
      </c>
      <c r="F64" s="13" t="n">
        <v>0</v>
      </c>
      <c r="G64" s="12" t="inlineStr">
        <is>
          <t>Suécia</t>
        </is>
      </c>
      <c r="H64" s="15" t="n">
        <v>46198</v>
      </c>
      <c r="I64" s="16" t="n">
        <v>46198</v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3</v>
      </c>
      <c r="G65" s="12" t="inlineStr">
        <is>
          <t>França</t>
        </is>
      </c>
      <c r="H65" s="15" t="n">
        <v>46199</v>
      </c>
      <c r="I65" s="16" t="n">
        <v>46199</v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1</v>
      </c>
      <c r="E66" s="14" t="inlineStr">
        <is>
          <t>X</t>
        </is>
      </c>
      <c r="F66" s="13" t="n">
        <v>1</v>
      </c>
      <c r="G66" s="12" t="inlineStr">
        <is>
          <t>Iraque</t>
        </is>
      </c>
      <c r="H66" s="15" t="n">
        <v>46199</v>
      </c>
      <c r="I66" s="16" t="n">
        <v>46199</v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2</v>
      </c>
      <c r="E67" s="14" t="inlineStr">
        <is>
          <t>X</t>
        </is>
      </c>
      <c r="F67" s="13" t="n">
        <v>3</v>
      </c>
      <c r="G67" s="12" t="inlineStr">
        <is>
          <t>Espanha</t>
        </is>
      </c>
      <c r="H67" s="15" t="n">
        <v>46199</v>
      </c>
      <c r="I67" s="16" t="n">
        <v>46199</v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0</v>
      </c>
      <c r="E68" s="14" t="inlineStr">
        <is>
          <t>X</t>
        </is>
      </c>
      <c r="F68" s="13" t="n">
        <v>1</v>
      </c>
      <c r="G68" s="12" t="inlineStr">
        <is>
          <t>Arábia Saudita</t>
        </is>
      </c>
      <c r="H68" s="15" t="n">
        <v>46199</v>
      </c>
      <c r="I68" s="16" t="n">
        <v>46199</v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0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 t="n">
        <v>46199</v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1</v>
      </c>
      <c r="E70" s="14" t="inlineStr">
        <is>
          <t>X</t>
        </is>
      </c>
      <c r="F70" s="13" t="n">
        <v>2</v>
      </c>
      <c r="G70" s="12" t="inlineStr">
        <is>
          <t>Bélgica</t>
        </is>
      </c>
      <c r="H70" s="15" t="n">
        <v>46199</v>
      </c>
      <c r="I70" s="16" t="n">
        <v>46199</v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0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 t="n">
        <v>46200</v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3</v>
      </c>
      <c r="G72" s="12" t="inlineStr">
        <is>
          <t>Argentina</t>
        </is>
      </c>
      <c r="H72" s="15" t="n">
        <v>46200</v>
      </c>
      <c r="I72" s="16" t="n">
        <v>46200</v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1</v>
      </c>
      <c r="E73" s="14" t="inlineStr">
        <is>
          <t>X</t>
        </is>
      </c>
      <c r="F73" s="13" t="n">
        <v>3</v>
      </c>
      <c r="G73" s="12" t="inlineStr">
        <is>
          <t>Inglaterra</t>
        </is>
      </c>
      <c r="H73" s="15" t="n">
        <v>46200</v>
      </c>
      <c r="I73" s="16" t="n">
        <v>46200</v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0</v>
      </c>
      <c r="G74" s="12" t="inlineStr">
        <is>
          <t>Gana</t>
        </is>
      </c>
      <c r="H74" s="15" t="n">
        <v>46200</v>
      </c>
      <c r="I74" s="16" t="n">
        <v>46200</v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0</v>
      </c>
      <c r="E75" s="14" t="inlineStr">
        <is>
          <t>X</t>
        </is>
      </c>
      <c r="F75" s="13" t="n">
        <v>0</v>
      </c>
      <c r="G75" s="12" t="inlineStr">
        <is>
          <t>Uzbequistão</t>
        </is>
      </c>
      <c r="H75" s="15" t="n">
        <v>46200</v>
      </c>
      <c r="I75" s="16" t="n">
        <v>46200</v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2</v>
      </c>
      <c r="G76" s="12" t="inlineStr">
        <is>
          <t>Portugal</t>
        </is>
      </c>
      <c r="H76" s="15" t="n">
        <v>46200</v>
      </c>
      <c r="I76" s="16" t="n">
        <v>46200</v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1</v>
      </c>
      <c r="E77" t="inlineStr">
        <is>
          <t>X</t>
        </is>
      </c>
      <c r="F77" t="n">
        <v>2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3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0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3</v>
      </c>
      <c r="E79" t="inlineStr">
        <is>
          <t>X</t>
        </is>
      </c>
      <c r="F79" t="n">
        <v>2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0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3</v>
      </c>
      <c r="E80" t="inlineStr">
        <is>
          <t>X</t>
        </is>
      </c>
      <c r="F80" t="n">
        <v>2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4</v>
      </c>
      <c r="E81" t="inlineStr">
        <is>
          <t>X</t>
        </is>
      </c>
      <c r="F81" t="n">
        <v>1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2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3</v>
      </c>
      <c r="E83" t="inlineStr">
        <is>
          <t>X</t>
        </is>
      </c>
      <c r="F83" t="n">
        <v>1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1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3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3</v>
      </c>
      <c r="E88" t="inlineStr">
        <is>
          <t>X</t>
        </is>
      </c>
      <c r="F88" t="n">
        <v>1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1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4</v>
      </c>
      <c r="E90" t="inlineStr">
        <is>
          <t>X</t>
        </is>
      </c>
      <c r="F90" t="n">
        <v>1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3</v>
      </c>
      <c r="E91" t="inlineStr">
        <is>
          <t>X</t>
        </is>
      </c>
      <c r="F91" t="n">
        <v>0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5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1</v>
      </c>
      <c r="E93" t="inlineStr">
        <is>
          <t>X</t>
        </is>
      </c>
      <c r="F93" t="n">
        <v>3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3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1</v>
      </c>
      <c r="E96" t="inlineStr">
        <is>
          <t>X</t>
        </is>
      </c>
      <c r="F96" t="n">
        <v>2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2</v>
      </c>
      <c r="E97" t="inlineStr">
        <is>
          <t>X</t>
        </is>
      </c>
      <c r="F97" t="n">
        <v>3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1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1</v>
      </c>
      <c r="E100" t="inlineStr">
        <is>
          <t>X</t>
        </is>
      </c>
      <c r="F100" t="n">
        <v>2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0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1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1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3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3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1</v>
      </c>
      <c r="E106" t="inlineStr">
        <is>
          <t>X</t>
        </is>
      </c>
      <c r="F106" t="n">
        <v>1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E107" t="inlineStr">
        <is>
          <t>X</t>
        </is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1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24" zoomScaleNormal="100" workbookViewId="0">
      <selection activeCell="D51" sqref="D51"/>
    </sheetView>
  </sheetViews>
  <sheetFormatPr baseColWidth="8" defaultColWidth="8.7109375" defaultRowHeight="12.75"/>
  <cols>
    <col width="11.28515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19.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19.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>
        <v>2</v>
      </c>
      <c r="E5" s="14" t="inlineStr">
        <is>
          <t>X</t>
        </is>
      </c>
      <c r="F5" s="13" t="n">
        <v>1</v>
      </c>
      <c r="G5" s="12" t="inlineStr">
        <is>
          <t>África do Sul</t>
        </is>
      </c>
      <c r="H5" s="15" t="n">
        <v>46184</v>
      </c>
      <c r="I5" s="16" t="n">
        <v>46184</v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>
        <v>1</v>
      </c>
      <c r="E6" s="14" t="inlineStr">
        <is>
          <t>X</t>
        </is>
      </c>
      <c r="F6" s="13" t="n">
        <v>1</v>
      </c>
      <c r="G6" s="12" t="inlineStr">
        <is>
          <t>Tchéquia</t>
        </is>
      </c>
      <c r="H6" s="15" t="n">
        <v>46184</v>
      </c>
      <c r="I6" s="16" t="n">
        <v>46184</v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>
        <v>1</v>
      </c>
      <c r="E7" s="14" t="inlineStr">
        <is>
          <t>X</t>
        </is>
      </c>
      <c r="F7" s="13" t="n">
        <v>0</v>
      </c>
      <c r="G7" s="12" t="inlineStr">
        <is>
          <t>Bósnia</t>
        </is>
      </c>
      <c r="H7" s="15" t="n">
        <v>46185</v>
      </c>
      <c r="I7" s="16" t="n">
        <v>46185</v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>
        <v>2</v>
      </c>
      <c r="E8" s="14" t="inlineStr">
        <is>
          <t>X</t>
        </is>
      </c>
      <c r="F8" s="13" t="n">
        <v>1</v>
      </c>
      <c r="G8" s="12" t="inlineStr">
        <is>
          <t>Paraguai</t>
        </is>
      </c>
      <c r="H8" s="15" t="n">
        <v>46185</v>
      </c>
      <c r="I8" s="16" t="n">
        <v>46185</v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2</v>
      </c>
      <c r="E9" s="14" t="inlineStr">
        <is>
          <t>X</t>
        </is>
      </c>
      <c r="F9" s="13" t="n">
        <v>0</v>
      </c>
      <c r="G9" s="12" t="inlineStr">
        <is>
          <t>Turquia</t>
        </is>
      </c>
      <c r="H9" s="15" t="n">
        <v>46186</v>
      </c>
      <c r="I9" s="16" t="n">
        <v>46186</v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1</v>
      </c>
      <c r="E10" s="14" t="inlineStr">
        <is>
          <t>X</t>
        </is>
      </c>
      <c r="F10" s="13" t="n">
        <v>1</v>
      </c>
      <c r="G10" s="12" t="inlineStr">
        <is>
          <t>Suíça</t>
        </is>
      </c>
      <c r="H10" s="15" t="n">
        <v>46186</v>
      </c>
      <c r="I10" s="16" t="n">
        <v>46186</v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2</v>
      </c>
      <c r="E11" s="14" t="inlineStr">
        <is>
          <t>X</t>
        </is>
      </c>
      <c r="F11" s="13" t="n">
        <v>0</v>
      </c>
      <c r="G11" s="12" t="inlineStr">
        <is>
          <t>Marrocos</t>
        </is>
      </c>
      <c r="H11" s="15" t="n">
        <v>46186</v>
      </c>
      <c r="I11" s="16" t="n">
        <v>46186</v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2</v>
      </c>
      <c r="E12" s="14" t="inlineStr">
        <is>
          <t>X</t>
        </is>
      </c>
      <c r="F12" s="13" t="n">
        <v>1</v>
      </c>
      <c r="G12" s="12" t="inlineStr">
        <is>
          <t>Escócia</t>
        </is>
      </c>
      <c r="H12" s="15" t="n">
        <v>46186</v>
      </c>
      <c r="I12" s="16" t="n">
        <v>46186</v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1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 t="n">
        <v>46187</v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 t="n">
        <v>46187</v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3</v>
      </c>
      <c r="E15" s="14" t="inlineStr">
        <is>
          <t>X</t>
        </is>
      </c>
      <c r="F15" s="13" t="n">
        <v>1</v>
      </c>
      <c r="G15" s="12" t="inlineStr">
        <is>
          <t>Equador</t>
        </is>
      </c>
      <c r="H15" s="15" t="n">
        <v>46187</v>
      </c>
      <c r="I15" s="16" t="n">
        <v>46187</v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1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 t="n">
        <v>46187</v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2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 t="n">
        <v>46188</v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2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 t="n">
        <v>46188</v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1</v>
      </c>
      <c r="E19" s="14" t="inlineStr">
        <is>
          <t>X</t>
        </is>
      </c>
      <c r="F19" s="13" t="n">
        <v>1</v>
      </c>
      <c r="G19" s="12" t="inlineStr">
        <is>
          <t>Uruguai</t>
        </is>
      </c>
      <c r="H19" s="15" t="n">
        <v>46188</v>
      </c>
      <c r="I19" s="16" t="n">
        <v>46188</v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2</v>
      </c>
      <c r="E20" s="14" t="inlineStr">
        <is>
          <t>X</t>
        </is>
      </c>
      <c r="F20" s="13" t="n">
        <v>0</v>
      </c>
      <c r="G20" s="12" t="inlineStr">
        <is>
          <t>Nova Zelândia</t>
        </is>
      </c>
      <c r="H20" s="15" t="n">
        <v>46188</v>
      </c>
      <c r="I20" s="16" t="n">
        <v>46188</v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2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 t="n">
        <v>46189</v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1</v>
      </c>
      <c r="E22" s="14" t="inlineStr">
        <is>
          <t>X</t>
        </is>
      </c>
      <c r="F22" s="13" t="n">
        <v>1</v>
      </c>
      <c r="G22" s="12" t="inlineStr">
        <is>
          <t>Noruega</t>
        </is>
      </c>
      <c r="H22" s="15" t="n">
        <v>46189</v>
      </c>
      <c r="I22" s="16" t="n">
        <v>46189</v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 t="n">
        <v>46189</v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1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 t="n">
        <v>46190</v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2</v>
      </c>
      <c r="E25" s="14" t="inlineStr">
        <is>
          <t>X</t>
        </is>
      </c>
      <c r="F25" s="13" t="n">
        <v>1</v>
      </c>
      <c r="G25" s="12" t="inlineStr">
        <is>
          <t>RD Congo</t>
        </is>
      </c>
      <c r="H25" s="15" t="n">
        <v>46190</v>
      </c>
      <c r="I25" s="16" t="n">
        <v>46190</v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1</v>
      </c>
      <c r="E26" s="14" t="inlineStr">
        <is>
          <t>X</t>
        </is>
      </c>
      <c r="F26" s="13" t="n">
        <v>1</v>
      </c>
      <c r="G26" s="12" t="inlineStr">
        <is>
          <t>Croácia</t>
        </is>
      </c>
      <c r="H26" s="15" t="n">
        <v>46190</v>
      </c>
      <c r="I26" s="16" t="n">
        <v>46190</v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2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 t="n">
        <v>46190</v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1</v>
      </c>
      <c r="E28" s="14" t="inlineStr">
        <is>
          <t>X</t>
        </is>
      </c>
      <c r="F28" s="13" t="n">
        <v>0</v>
      </c>
      <c r="G28" s="12" t="inlineStr">
        <is>
          <t>Colômbia</t>
        </is>
      </c>
      <c r="H28" s="15" t="n">
        <v>46190</v>
      </c>
      <c r="I28" s="16" t="n">
        <v>46190</v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1</v>
      </c>
      <c r="G29" s="12" t="inlineStr">
        <is>
          <t>África do Sul</t>
        </is>
      </c>
      <c r="H29" s="15" t="n">
        <v>46191</v>
      </c>
      <c r="I29" s="16" t="n">
        <v>46191</v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1</v>
      </c>
      <c r="E30" s="14" t="inlineStr">
        <is>
          <t>X</t>
        </is>
      </c>
      <c r="F30" s="13" t="n">
        <v>1</v>
      </c>
      <c r="G30" s="12" t="inlineStr">
        <is>
          <t>Bósnia</t>
        </is>
      </c>
      <c r="H30" s="15" t="n">
        <v>46191</v>
      </c>
      <c r="I30" s="16" t="n">
        <v>46191</v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2</v>
      </c>
      <c r="E31" s="14" t="inlineStr">
        <is>
          <t>X</t>
        </is>
      </c>
      <c r="F31" s="13" t="n">
        <v>0</v>
      </c>
      <c r="G31" s="12" t="inlineStr">
        <is>
          <t>Catar</t>
        </is>
      </c>
      <c r="H31" s="15" t="n">
        <v>46191</v>
      </c>
      <c r="I31" s="16" t="n">
        <v>46191</v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2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 t="n">
        <v>46191</v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1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 t="n">
        <v>46192</v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 t="n">
        <v>46192</v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2</v>
      </c>
      <c r="E35" s="14" t="inlineStr">
        <is>
          <t>X</t>
        </is>
      </c>
      <c r="F35" s="13" t="n">
        <v>1</v>
      </c>
      <c r="G35" s="12" t="inlineStr">
        <is>
          <t>Haiti</t>
        </is>
      </c>
      <c r="H35" s="15" t="n">
        <v>46192</v>
      </c>
      <c r="I35" s="16" t="n">
        <v>46192</v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1</v>
      </c>
      <c r="E36" s="14" t="inlineStr">
        <is>
          <t>X</t>
        </is>
      </c>
      <c r="F36" s="13" t="n">
        <v>0</v>
      </c>
      <c r="G36" s="12" t="inlineStr">
        <is>
          <t>Paraguai</t>
        </is>
      </c>
      <c r="H36" s="15" t="n">
        <v>46193</v>
      </c>
      <c r="I36" s="16" t="n">
        <v>46193</v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2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 t="n">
        <v>46193</v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1</v>
      </c>
      <c r="E38" s="14" t="inlineStr">
        <is>
          <t>X</t>
        </is>
      </c>
      <c r="F38" s="13" t="n">
        <v>1</v>
      </c>
      <c r="G38" s="12" t="inlineStr">
        <is>
          <t>Costa do Marfim</t>
        </is>
      </c>
      <c r="H38" s="15" t="n">
        <v>46193</v>
      </c>
      <c r="I38" s="16" t="n">
        <v>46193</v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2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 t="n">
        <v>46193</v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1</v>
      </c>
      <c r="E40" s="14" t="inlineStr">
        <is>
          <t>X</t>
        </is>
      </c>
      <c r="F40" s="13" t="n">
        <v>1</v>
      </c>
      <c r="G40" s="12" t="inlineStr">
        <is>
          <t>Japão</t>
        </is>
      </c>
      <c r="H40" s="15" t="n">
        <v>46194</v>
      </c>
      <c r="I40" s="16" t="n">
        <v>46194</v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2</v>
      </c>
      <c r="E41" s="14" t="inlineStr">
        <is>
          <t>X</t>
        </is>
      </c>
      <c r="F41" s="13" t="n">
        <v>1</v>
      </c>
      <c r="G41" s="12" t="inlineStr">
        <is>
          <t>Arábia Saudita</t>
        </is>
      </c>
      <c r="H41" s="15" t="n">
        <v>46194</v>
      </c>
      <c r="I41" s="16" t="n">
        <v>46194</v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1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 t="n">
        <v>46194</v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2</v>
      </c>
      <c r="E43" s="14" t="inlineStr">
        <is>
          <t>X</t>
        </is>
      </c>
      <c r="F43" s="13" t="n">
        <v>1</v>
      </c>
      <c r="G43" s="12" t="inlineStr">
        <is>
          <t>Cabo Verde</t>
        </is>
      </c>
      <c r="H43" s="15" t="n">
        <v>46194</v>
      </c>
      <c r="I43" s="16" t="n">
        <v>46194</v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1</v>
      </c>
      <c r="E44" s="14" t="inlineStr">
        <is>
          <t>X</t>
        </is>
      </c>
      <c r="F44" s="13" t="n">
        <v>1</v>
      </c>
      <c r="G44" s="12" t="inlineStr">
        <is>
          <t>Egito</t>
        </is>
      </c>
      <c r="H44" s="15" t="n">
        <v>46194</v>
      </c>
      <c r="I44" s="16" t="n">
        <v>46194</v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2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 t="n">
        <v>46195</v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1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 t="n">
        <v>46195</v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1</v>
      </c>
      <c r="G47" s="12" t="inlineStr">
        <is>
          <t>Áustria</t>
        </is>
      </c>
      <c r="H47" s="15" t="n">
        <v>46195</v>
      </c>
      <c r="I47" s="16" t="n">
        <v>46195</v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1</v>
      </c>
      <c r="E48" s="14" t="inlineStr">
        <is>
          <t>X</t>
        </is>
      </c>
      <c r="F48" s="13" t="n">
        <v>0</v>
      </c>
      <c r="G48" s="12" t="inlineStr">
        <is>
          <t>Argélia</t>
        </is>
      </c>
      <c r="H48" s="15" t="n">
        <v>46196</v>
      </c>
      <c r="I48" s="16" t="n">
        <v>46196</v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1</v>
      </c>
      <c r="G49" s="12" t="inlineStr">
        <is>
          <t>Uzbequistão</t>
        </is>
      </c>
      <c r="H49" s="15" t="n">
        <v>46196</v>
      </c>
      <c r="I49" s="16" t="n">
        <v>46196</v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1</v>
      </c>
      <c r="E50" s="14" t="inlineStr">
        <is>
          <t>X</t>
        </is>
      </c>
      <c r="F50" s="13" t="n">
        <v>1</v>
      </c>
      <c r="G50" s="12" t="inlineStr">
        <is>
          <t>Gana</t>
        </is>
      </c>
      <c r="H50" s="15" t="n">
        <v>46196</v>
      </c>
      <c r="I50" s="16" t="n">
        <v>46196</v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2</v>
      </c>
      <c r="E51" s="14" t="inlineStr">
        <is>
          <t>X</t>
        </is>
      </c>
      <c r="F51" s="13" t="n">
        <v>0</v>
      </c>
      <c r="G51" s="12" t="inlineStr">
        <is>
          <t>Croácia</t>
        </is>
      </c>
      <c r="H51" s="15" t="n">
        <v>46196</v>
      </c>
      <c r="I51" s="16" t="n">
        <v>46196</v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1</v>
      </c>
      <c r="E52" s="14" t="inlineStr">
        <is>
          <t>X</t>
        </is>
      </c>
      <c r="F52" s="13" t="n">
        <v>1</v>
      </c>
      <c r="G52" s="12" t="inlineStr">
        <is>
          <t>RD Congo</t>
        </is>
      </c>
      <c r="H52" s="15" t="n">
        <v>46196</v>
      </c>
      <c r="I52" s="16" t="n">
        <v>46196</v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2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 t="n">
        <v>46197</v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 t="n">
        <v>46197</v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2</v>
      </c>
      <c r="E55" s="14" t="inlineStr">
        <is>
          <t>X</t>
        </is>
      </c>
      <c r="F55" s="13" t="n">
        <v>1</v>
      </c>
      <c r="G55" s="18" t="inlineStr">
        <is>
          <t>Brasil</t>
        </is>
      </c>
      <c r="H55" s="15" t="n">
        <v>46197</v>
      </c>
      <c r="I55" s="16" t="n">
        <v>46197</v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1</v>
      </c>
      <c r="E56" s="14" t="inlineStr">
        <is>
          <t>X</t>
        </is>
      </c>
      <c r="F56" s="13" t="n">
        <v>1</v>
      </c>
      <c r="G56" s="12" t="inlineStr">
        <is>
          <t>Haiti</t>
        </is>
      </c>
      <c r="H56" s="15" t="n">
        <v>46197</v>
      </c>
      <c r="I56" s="16" t="n">
        <v>46197</v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2</v>
      </c>
      <c r="E57" s="14" t="inlineStr">
        <is>
          <t>X</t>
        </is>
      </c>
      <c r="F57" s="13" t="n">
        <v>0</v>
      </c>
      <c r="G57" s="12" t="inlineStr">
        <is>
          <t>México</t>
        </is>
      </c>
      <c r="H57" s="15" t="n">
        <v>46197</v>
      </c>
      <c r="I57" s="16" t="n">
        <v>46197</v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1</v>
      </c>
      <c r="E58" s="14" t="inlineStr">
        <is>
          <t>X</t>
        </is>
      </c>
      <c r="F58" s="13" t="n">
        <v>1</v>
      </c>
      <c r="G58" s="12" t="inlineStr">
        <is>
          <t>Coreia do Sul</t>
        </is>
      </c>
      <c r="H58" s="15" t="n">
        <v>46197</v>
      </c>
      <c r="I58" s="16" t="n">
        <v>46197</v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2</v>
      </c>
      <c r="E59" s="14" t="inlineStr">
        <is>
          <t>X</t>
        </is>
      </c>
      <c r="F59" s="13" t="n">
        <v>1</v>
      </c>
      <c r="G59" s="12" t="inlineStr">
        <is>
          <t>Alemanha</t>
        </is>
      </c>
      <c r="H59" s="15" t="n">
        <v>46198</v>
      </c>
      <c r="I59" s="16" t="n">
        <v>46198</v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1</v>
      </c>
      <c r="E60" s="14" t="inlineStr">
        <is>
          <t>X</t>
        </is>
      </c>
      <c r="F60" s="13" t="n">
        <v>0</v>
      </c>
      <c r="G60" s="12" t="inlineStr">
        <is>
          <t>Costa do Marfim</t>
        </is>
      </c>
      <c r="H60" s="15" t="n">
        <v>46198</v>
      </c>
      <c r="I60" s="16" t="n">
        <v>46198</v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2</v>
      </c>
      <c r="E61" s="14" t="inlineStr">
        <is>
          <t>X</t>
        </is>
      </c>
      <c r="F61" s="13" t="n">
        <v>1</v>
      </c>
      <c r="G61" s="12" t="inlineStr">
        <is>
          <t>EUA</t>
        </is>
      </c>
      <c r="H61" s="15" t="n">
        <v>46198</v>
      </c>
      <c r="I61" s="16" t="n">
        <v>46198</v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1</v>
      </c>
      <c r="G62" s="12" t="inlineStr">
        <is>
          <t>Austrália</t>
        </is>
      </c>
      <c r="H62" s="15" t="n">
        <v>46198</v>
      </c>
      <c r="I62" s="16" t="n">
        <v>46198</v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2</v>
      </c>
      <c r="E63" s="14" t="inlineStr">
        <is>
          <t>X</t>
        </is>
      </c>
      <c r="F63" s="13" t="n">
        <v>0</v>
      </c>
      <c r="G63" s="12" t="inlineStr">
        <is>
          <t>Holanda</t>
        </is>
      </c>
      <c r="H63" s="15" t="n">
        <v>46198</v>
      </c>
      <c r="I63" s="16" t="n">
        <v>46198</v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1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 t="n">
        <v>46198</v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2</v>
      </c>
      <c r="E65" s="14" t="inlineStr">
        <is>
          <t>X</t>
        </is>
      </c>
      <c r="F65" s="13" t="n">
        <v>1</v>
      </c>
      <c r="G65" s="12" t="inlineStr">
        <is>
          <t>França</t>
        </is>
      </c>
      <c r="H65" s="15" t="n">
        <v>46199</v>
      </c>
      <c r="I65" s="16" t="n">
        <v>46199</v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1</v>
      </c>
      <c r="E66" s="14" t="inlineStr">
        <is>
          <t>X</t>
        </is>
      </c>
      <c r="F66" s="13" t="n">
        <v>0</v>
      </c>
      <c r="G66" s="12" t="inlineStr">
        <is>
          <t>Iraque</t>
        </is>
      </c>
      <c r="H66" s="15" t="n">
        <v>46199</v>
      </c>
      <c r="I66" s="16" t="n">
        <v>46199</v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2</v>
      </c>
      <c r="E67" s="14" t="inlineStr">
        <is>
          <t>X</t>
        </is>
      </c>
      <c r="F67" s="13" t="n">
        <v>1</v>
      </c>
      <c r="G67" s="12" t="inlineStr">
        <is>
          <t>Espanha</t>
        </is>
      </c>
      <c r="H67" s="15" t="n">
        <v>46199</v>
      </c>
      <c r="I67" s="16" t="n">
        <v>46199</v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1</v>
      </c>
      <c r="E68" s="14" t="inlineStr">
        <is>
          <t>X</t>
        </is>
      </c>
      <c r="F68" s="13" t="n">
        <v>1</v>
      </c>
      <c r="G68" s="12" t="inlineStr">
        <is>
          <t>Arábia Saudita</t>
        </is>
      </c>
      <c r="H68" s="15" t="n">
        <v>46199</v>
      </c>
      <c r="I68" s="16" t="n">
        <v>46199</v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2</v>
      </c>
      <c r="E69" s="14" t="inlineStr">
        <is>
          <t>X</t>
        </is>
      </c>
      <c r="F69" s="13" t="n">
        <v>0</v>
      </c>
      <c r="G69" s="12" t="inlineStr">
        <is>
          <t>Irã</t>
        </is>
      </c>
      <c r="H69" s="15" t="n">
        <v>46199</v>
      </c>
      <c r="I69" s="16" t="n">
        <v>46199</v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1</v>
      </c>
      <c r="E70" s="14" t="inlineStr">
        <is>
          <t>X</t>
        </is>
      </c>
      <c r="F70" s="13" t="n">
        <v>1</v>
      </c>
      <c r="G70" s="12" t="inlineStr">
        <is>
          <t>Bélgica</t>
        </is>
      </c>
      <c r="H70" s="15" t="n">
        <v>46199</v>
      </c>
      <c r="I70" s="16" t="n">
        <v>46199</v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2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 t="n">
        <v>46200</v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1</v>
      </c>
      <c r="E72" s="14" t="inlineStr">
        <is>
          <t>X</t>
        </is>
      </c>
      <c r="F72" s="13" t="n">
        <v>0</v>
      </c>
      <c r="G72" s="12" t="inlineStr">
        <is>
          <t>Argentina</t>
        </is>
      </c>
      <c r="H72" s="15" t="n">
        <v>46200</v>
      </c>
      <c r="I72" s="16" t="n">
        <v>46200</v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2</v>
      </c>
      <c r="E73" s="14" t="inlineStr">
        <is>
          <t>X</t>
        </is>
      </c>
      <c r="F73" s="13" t="n">
        <v>1</v>
      </c>
      <c r="G73" s="12" t="inlineStr">
        <is>
          <t>Inglaterra</t>
        </is>
      </c>
      <c r="H73" s="15" t="n">
        <v>46200</v>
      </c>
      <c r="I73" s="16" t="n">
        <v>46200</v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1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 t="n">
        <v>46200</v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2</v>
      </c>
      <c r="E75" s="14" t="inlineStr">
        <is>
          <t>X</t>
        </is>
      </c>
      <c r="F75" s="13" t="n">
        <v>0</v>
      </c>
      <c r="G75" s="12" t="inlineStr">
        <is>
          <t>Uzbequistão</t>
        </is>
      </c>
      <c r="H75" s="15" t="n">
        <v>46200</v>
      </c>
      <c r="I75" s="16" t="n">
        <v>46200</v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1</v>
      </c>
      <c r="G76" s="12" t="inlineStr">
        <is>
          <t>Portugal</t>
        </is>
      </c>
      <c r="H76" s="15" t="n">
        <v>46200</v>
      </c>
      <c r="I76" s="16" t="n">
        <v>46200</v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1</v>
      </c>
      <c r="E77" t="inlineStr">
        <is>
          <t>X</t>
        </is>
      </c>
      <c r="F77" t="n">
        <v>2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2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0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1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2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2</v>
      </c>
      <c r="E83" t="inlineStr">
        <is>
          <t>X</t>
        </is>
      </c>
      <c r="F83" t="n">
        <v>1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2</v>
      </c>
      <c r="E84" t="inlineStr">
        <is>
          <t>X</t>
        </is>
      </c>
      <c r="F84" t="n">
        <v>1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3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2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2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1</v>
      </c>
      <c r="E91" t="inlineStr">
        <is>
          <t>X</t>
        </is>
      </c>
      <c r="F91" t="n">
        <v>1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2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1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1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1</v>
      </c>
      <c r="E96" t="inlineStr">
        <is>
          <t>X</t>
        </is>
      </c>
      <c r="F96" t="n">
        <v>2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1</v>
      </c>
      <c r="E100" t="inlineStr">
        <is>
          <t>X</t>
        </is>
      </c>
      <c r="F100" t="n">
        <v>1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2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1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0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0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1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3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0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35" zoomScaleNormal="100" workbookViewId="0">
      <selection activeCell="C55" sqref="C55:G58"/>
    </sheetView>
  </sheetViews>
  <sheetFormatPr baseColWidth="8" defaultColWidth="8.710937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8.5703125" customWidth="1" min="8" max="9"/>
    <col width="11.140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3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/>
      <c r="E5" s="14" t="inlineStr">
        <is>
          <t>X</t>
        </is>
      </c>
      <c r="F5" s="13" t="n"/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/>
      <c r="E6" s="14" t="inlineStr">
        <is>
          <t>X</t>
        </is>
      </c>
      <c r="F6" s="13" t="n"/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/>
      <c r="E7" s="14" t="inlineStr">
        <is>
          <t>X</t>
        </is>
      </c>
      <c r="F7" s="13" t="n"/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/>
      <c r="E8" s="14" t="inlineStr">
        <is>
          <t>X</t>
        </is>
      </c>
      <c r="F8" s="13" t="n"/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0</v>
      </c>
      <c r="E9" s="14" t="inlineStr">
        <is>
          <t>X</t>
        </is>
      </c>
      <c r="F9" s="13" t="n">
        <v>2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0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1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1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3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1</v>
      </c>
      <c r="E14" s="14" t="inlineStr">
        <is>
          <t>X</t>
        </is>
      </c>
      <c r="F14" s="13" t="n">
        <v>2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0</v>
      </c>
      <c r="E15" s="14" t="inlineStr">
        <is>
          <t>X</t>
        </is>
      </c>
      <c r="F15" s="13" t="n">
        <v>2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2</v>
      </c>
      <c r="E16" s="14" t="inlineStr">
        <is>
          <t>X</t>
        </is>
      </c>
      <c r="F16" s="13" t="n">
        <v>1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3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1</v>
      </c>
      <c r="E18" s="14" t="inlineStr">
        <is>
          <t>X</t>
        </is>
      </c>
      <c r="F18" s="13" t="n">
        <v>1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0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2</v>
      </c>
      <c r="E20" s="14" t="inlineStr">
        <is>
          <t>X</t>
        </is>
      </c>
      <c r="F20" s="13" t="n">
        <v>0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2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1</v>
      </c>
      <c r="E22" s="14" t="inlineStr">
        <is>
          <t>X</t>
        </is>
      </c>
      <c r="F22" s="13" t="n">
        <v>2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0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2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2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2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0</v>
      </c>
      <c r="E28" s="14" t="inlineStr">
        <is>
          <t>X</t>
        </is>
      </c>
      <c r="F28" s="13" t="n">
        <v>2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0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1</v>
      </c>
      <c r="E30" s="14" t="inlineStr">
        <is>
          <t>X</t>
        </is>
      </c>
      <c r="F30" s="13" t="n">
        <v>2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1</v>
      </c>
      <c r="E31" s="14" t="inlineStr">
        <is>
          <t>X</t>
        </is>
      </c>
      <c r="F31" s="13" t="n">
        <v>1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2</v>
      </c>
      <c r="E32" s="14" t="inlineStr">
        <is>
          <t>X</t>
        </is>
      </c>
      <c r="F32" s="13" t="n">
        <v>1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2</v>
      </c>
      <c r="E33" s="14" t="inlineStr">
        <is>
          <t>X</t>
        </is>
      </c>
      <c r="F33" s="13" t="n">
        <v>0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3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0</v>
      </c>
      <c r="E36" s="14" t="inlineStr">
        <is>
          <t>X</t>
        </is>
      </c>
      <c r="F36" s="13" t="n">
        <v>0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2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1</v>
      </c>
      <c r="E38" s="14" t="inlineStr">
        <is>
          <t>X</t>
        </is>
      </c>
      <c r="F38" s="13" t="n">
        <v>1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2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0</v>
      </c>
      <c r="E40" s="14" t="inlineStr">
        <is>
          <t>X</t>
        </is>
      </c>
      <c r="F40" s="13" t="n">
        <v>2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3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3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3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1</v>
      </c>
      <c r="E44" s="14" t="inlineStr">
        <is>
          <t>X</t>
        </is>
      </c>
      <c r="F44" s="13" t="n">
        <v>3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3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1</v>
      </c>
      <c r="E46" s="14" t="inlineStr">
        <is>
          <t>X</t>
        </is>
      </c>
      <c r="F46" s="13" t="n">
        <v>2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0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0</v>
      </c>
      <c r="E48" s="14" t="inlineStr">
        <is>
          <t>X</t>
        </is>
      </c>
      <c r="F48" s="13" t="n">
        <v>0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4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2</v>
      </c>
      <c r="E50" s="14" t="inlineStr">
        <is>
          <t>X</t>
        </is>
      </c>
      <c r="F50" s="13" t="n">
        <v>2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0</v>
      </c>
      <c r="E51" s="14" t="inlineStr">
        <is>
          <t>X</t>
        </is>
      </c>
      <c r="F51" s="13" t="n">
        <v>2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2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0</v>
      </c>
      <c r="E53" s="14" t="inlineStr">
        <is>
          <t>X</t>
        </is>
      </c>
      <c r="F53" s="13" t="n">
        <v>0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0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0</v>
      </c>
      <c r="E55" s="14" t="inlineStr">
        <is>
          <t>X</t>
        </is>
      </c>
      <c r="F55" s="13" t="n">
        <v>2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3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1</v>
      </c>
      <c r="E57" s="14" t="inlineStr">
        <is>
          <t>X</t>
        </is>
      </c>
      <c r="F57" s="13" t="n">
        <v>2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1</v>
      </c>
      <c r="E58" s="14" t="inlineStr">
        <is>
          <t>X</t>
        </is>
      </c>
      <c r="F58" s="13" t="n">
        <v>2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2</v>
      </c>
      <c r="E59" s="14" t="inlineStr">
        <is>
          <t>X</t>
        </is>
      </c>
      <c r="F59" s="13" t="n">
        <v>2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2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2</v>
      </c>
      <c r="E61" s="14" t="inlineStr">
        <is>
          <t>X</t>
        </is>
      </c>
      <c r="F61" s="13" t="n">
        <v>0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2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1</v>
      </c>
      <c r="E63" s="14" t="inlineStr">
        <is>
          <t>X</t>
        </is>
      </c>
      <c r="F63" s="13" t="n">
        <v>2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2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3</v>
      </c>
      <c r="E66" s="14" t="inlineStr">
        <is>
          <t>X</t>
        </is>
      </c>
      <c r="F66" s="13" t="n">
        <v>0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1</v>
      </c>
      <c r="E67" s="14" t="inlineStr">
        <is>
          <t>X</t>
        </is>
      </c>
      <c r="F67" s="13" t="n">
        <v>1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1</v>
      </c>
      <c r="E68" s="14" t="inlineStr">
        <is>
          <t>X</t>
        </is>
      </c>
      <c r="F68" s="13" t="n">
        <v>1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2</v>
      </c>
      <c r="E69" s="14" t="inlineStr">
        <is>
          <t>X</t>
        </is>
      </c>
      <c r="F69" s="13" t="n">
        <v>1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3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2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3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3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2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0</v>
      </c>
      <c r="E75" s="14" t="inlineStr">
        <is>
          <t>X</t>
        </is>
      </c>
      <c r="F75" s="13" t="n">
        <v>0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2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2</v>
      </c>
      <c r="E77" t="inlineStr">
        <is>
          <t>X</t>
        </is>
      </c>
      <c r="F77" t="n">
        <v>1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2</v>
      </c>
      <c r="E78" t="inlineStr">
        <is>
          <t>X</t>
        </is>
      </c>
      <c r="F78" t="n">
        <v>1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3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2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1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1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2</v>
      </c>
      <c r="E83" t="inlineStr">
        <is>
          <t>X</t>
        </is>
      </c>
      <c r="F83" t="n">
        <v>2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2</v>
      </c>
      <c r="E84" t="inlineStr">
        <is>
          <t>X</t>
        </is>
      </c>
      <c r="F84" t="n">
        <v>1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0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1</v>
      </c>
      <c r="E86" t="inlineStr">
        <is>
          <t>X</t>
        </is>
      </c>
      <c r="F86" t="n">
        <v>1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1</v>
      </c>
      <c r="E87" t="inlineStr">
        <is>
          <t>X</t>
        </is>
      </c>
      <c r="F87" t="n">
        <v>2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0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4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2</v>
      </c>
      <c r="E91" t="inlineStr">
        <is>
          <t>X</t>
        </is>
      </c>
      <c r="F91" t="n">
        <v>1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2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3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1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0</v>
      </c>
      <c r="E94" t="inlineStr">
        <is>
          <t>X</t>
        </is>
      </c>
      <c r="F94" t="n">
        <v>2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2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2</v>
      </c>
      <c r="E96" t="inlineStr">
        <is>
          <t>X</t>
        </is>
      </c>
      <c r="F96" t="n">
        <v>1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2</v>
      </c>
      <c r="E99" t="inlineStr">
        <is>
          <t>X</t>
        </is>
      </c>
      <c r="F99" t="n">
        <v>1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0</v>
      </c>
      <c r="E100" t="inlineStr">
        <is>
          <t>X</t>
        </is>
      </c>
      <c r="F100" t="n">
        <v>2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1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1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1</v>
      </c>
      <c r="E102" t="inlineStr">
        <is>
          <t>X</t>
        </is>
      </c>
      <c r="F102" t="n">
        <v>1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1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2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1</v>
      </c>
      <c r="E108" t="inlineStr">
        <is>
          <t>X</t>
        </is>
      </c>
      <c r="F108" t="n">
        <v>2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27" workbookViewId="0">
      <selection activeCell="F28" sqref="F28"/>
    </sheetView>
  </sheetViews>
  <sheetFormatPr baseColWidth="8" defaultRowHeight="12.75"/>
  <cols>
    <col width="15.85546875" bestFit="1" customWidth="1" min="3" max="3"/>
    <col width="15.85546875" bestFit="1" customWidth="1" min="7" max="7"/>
  </cols>
  <sheetData>
    <row r="1" ht="21.75" customHeight="1" thickBot="1">
      <c r="A1" s="92" t="inlineStr">
        <is>
          <t>COPA 2026 - TABELA DE APOSTAS</t>
        </is>
      </c>
      <c r="B1" s="114" t="n"/>
      <c r="C1" s="114" t="n"/>
      <c r="D1" s="114" t="n"/>
      <c r="E1" s="97" t="n"/>
      <c r="F1" s="85" t="inlineStr">
        <is>
          <t xml:space="preserve">Pagamento = Pix </t>
        </is>
      </c>
      <c r="G1" s="114" t="n"/>
      <c r="H1" s="114" t="n"/>
      <c r="I1" s="114" t="n"/>
      <c r="J1" s="119" t="n">
        <v>50</v>
      </c>
    </row>
    <row r="2" ht="19.5" customHeight="1" thickBot="1">
      <c r="A2" s="48" t="inlineStr">
        <is>
          <t>Nome:</t>
        </is>
      </c>
      <c r="B2" s="94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19.5" customHeight="1" thickBot="1">
      <c r="A3" s="49" t="inlineStr">
        <is>
          <t>Celular:</t>
        </is>
      </c>
      <c r="B3" s="90" t="n"/>
      <c r="C3" s="97" t="n"/>
      <c r="D3" s="93" t="inlineStr">
        <is>
          <t xml:space="preserve">e-mail: </t>
        </is>
      </c>
      <c r="E3" s="115" t="n"/>
      <c r="F3" s="103" t="n"/>
      <c r="G3" s="87" t="n"/>
      <c r="H3" s="115" t="n"/>
      <c r="I3" s="115" t="n"/>
      <c r="J3" s="103" t="n"/>
    </row>
    <row r="4">
      <c r="A4" s="34" t="inlineStr">
        <is>
          <t>JOGOS</t>
        </is>
      </c>
      <c r="B4" s="45" t="inlineStr">
        <is>
          <t>GRUPO</t>
        </is>
      </c>
      <c r="C4" s="35" t="n"/>
      <c r="D4" s="36" t="n"/>
      <c r="E4" s="36" t="n"/>
      <c r="F4" s="36" t="n"/>
      <c r="G4" s="37" t="n"/>
      <c r="H4" s="38" t="inlineStr">
        <is>
          <t>DIA</t>
        </is>
      </c>
      <c r="I4" s="37" t="n"/>
      <c r="J4" s="39" t="inlineStr">
        <is>
          <t>HORA</t>
        </is>
      </c>
    </row>
    <row r="5" ht="15" customHeight="1">
      <c r="A5" s="40" t="n">
        <v>1</v>
      </c>
      <c r="B5" s="40" t="inlineStr">
        <is>
          <t>A</t>
        </is>
      </c>
      <c r="C5" s="46" t="inlineStr">
        <is>
          <t>México</t>
        </is>
      </c>
      <c r="D5" s="41" t="n"/>
      <c r="E5" s="33" t="inlineStr">
        <is>
          <t>X</t>
        </is>
      </c>
      <c r="F5" s="41" t="n"/>
      <c r="G5" s="46" t="inlineStr">
        <is>
          <t>África do Sul</t>
        </is>
      </c>
      <c r="H5" s="42" t="n">
        <v>46184</v>
      </c>
      <c r="I5" s="43" t="n">
        <v>46184</v>
      </c>
      <c r="J5" s="44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40" t="n">
        <v>2</v>
      </c>
      <c r="B6" s="40" t="inlineStr">
        <is>
          <t>A</t>
        </is>
      </c>
      <c r="C6" s="46" t="inlineStr">
        <is>
          <t>Coreia do Sul</t>
        </is>
      </c>
      <c r="D6" s="41" t="n"/>
      <c r="E6" s="33" t="inlineStr">
        <is>
          <t>X</t>
        </is>
      </c>
      <c r="F6" s="41" t="n"/>
      <c r="G6" s="46" t="inlineStr">
        <is>
          <t>Tchéquia</t>
        </is>
      </c>
      <c r="H6" s="42" t="n">
        <v>46184</v>
      </c>
      <c r="I6" s="43" t="n">
        <v>46184</v>
      </c>
      <c r="J6" s="44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40" t="n">
        <v>3</v>
      </c>
      <c r="B7" s="40" t="inlineStr">
        <is>
          <t>B</t>
        </is>
      </c>
      <c r="C7" s="46" t="inlineStr">
        <is>
          <t>Canadá</t>
        </is>
      </c>
      <c r="D7" s="41" t="n"/>
      <c r="E7" s="33" t="inlineStr">
        <is>
          <t>X</t>
        </is>
      </c>
      <c r="F7" s="41" t="n"/>
      <c r="G7" s="46" t="inlineStr">
        <is>
          <t>Bósnia</t>
        </is>
      </c>
      <c r="H7" s="42" t="n">
        <v>46185</v>
      </c>
      <c r="I7" s="43" t="n">
        <v>46185</v>
      </c>
      <c r="J7" s="44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40" t="n">
        <v>4</v>
      </c>
      <c r="B8" s="40" t="inlineStr">
        <is>
          <t>D</t>
        </is>
      </c>
      <c r="C8" s="46" t="inlineStr">
        <is>
          <t>EUA</t>
        </is>
      </c>
      <c r="D8" s="41" t="n"/>
      <c r="E8" s="33" t="inlineStr">
        <is>
          <t>X</t>
        </is>
      </c>
      <c r="F8" s="41" t="n"/>
      <c r="G8" s="46" t="inlineStr">
        <is>
          <t>Paraguai</t>
        </is>
      </c>
      <c r="H8" s="42" t="n">
        <v>46185</v>
      </c>
      <c r="I8" s="43" t="n">
        <v>46185</v>
      </c>
      <c r="J8" s="44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40" t="n">
        <v>5</v>
      </c>
      <c r="B9" s="40" t="inlineStr">
        <is>
          <t>D</t>
        </is>
      </c>
      <c r="C9" s="46" t="inlineStr">
        <is>
          <t>Austrália</t>
        </is>
      </c>
      <c r="D9" s="41" t="n"/>
      <c r="E9" s="33" t="inlineStr">
        <is>
          <t>X</t>
        </is>
      </c>
      <c r="F9" s="41" t="n"/>
      <c r="G9" s="46" t="inlineStr">
        <is>
          <t>Turquia</t>
        </is>
      </c>
      <c r="H9" s="42" t="n">
        <v>46186</v>
      </c>
      <c r="I9" s="43" t="n">
        <v>46186</v>
      </c>
      <c r="J9" s="44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40" t="n">
        <v>6</v>
      </c>
      <c r="B10" s="40" t="inlineStr">
        <is>
          <t>B</t>
        </is>
      </c>
      <c r="C10" s="46" t="inlineStr">
        <is>
          <t>Catar</t>
        </is>
      </c>
      <c r="D10" s="41" t="n"/>
      <c r="E10" s="33" t="inlineStr">
        <is>
          <t>X</t>
        </is>
      </c>
      <c r="F10" s="41" t="n"/>
      <c r="G10" s="46" t="inlineStr">
        <is>
          <t>Suíça</t>
        </is>
      </c>
      <c r="H10" s="42" t="n">
        <v>46186</v>
      </c>
      <c r="I10" s="43" t="n">
        <v>46186</v>
      </c>
      <c r="J10" s="44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40" t="n">
        <v>7</v>
      </c>
      <c r="B11" s="40" t="inlineStr">
        <is>
          <t>C</t>
        </is>
      </c>
      <c r="C11" s="47" t="inlineStr">
        <is>
          <t>Brasil</t>
        </is>
      </c>
      <c r="D11" s="41" t="n"/>
      <c r="E11" s="33" t="inlineStr">
        <is>
          <t>X</t>
        </is>
      </c>
      <c r="F11" s="41" t="n"/>
      <c r="G11" s="46" t="inlineStr">
        <is>
          <t>Marrocos</t>
        </is>
      </c>
      <c r="H11" s="42" t="n">
        <v>46186</v>
      </c>
      <c r="I11" s="43" t="n">
        <v>46186</v>
      </c>
      <c r="J11" s="44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40" t="n">
        <v>8</v>
      </c>
      <c r="B12" s="40" t="inlineStr">
        <is>
          <t>C</t>
        </is>
      </c>
      <c r="C12" s="46" t="inlineStr">
        <is>
          <t>Haiti</t>
        </is>
      </c>
      <c r="D12" s="41" t="n"/>
      <c r="E12" s="33" t="inlineStr">
        <is>
          <t>X</t>
        </is>
      </c>
      <c r="F12" s="41" t="n"/>
      <c r="G12" s="46" t="inlineStr">
        <is>
          <t>Escócia</t>
        </is>
      </c>
      <c r="H12" s="42" t="n">
        <v>46186</v>
      </c>
      <c r="I12" s="43" t="n">
        <v>46186</v>
      </c>
      <c r="J12" s="44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40" t="n">
        <v>9</v>
      </c>
      <c r="B13" s="40" t="inlineStr">
        <is>
          <t>E</t>
        </is>
      </c>
      <c r="C13" s="46" t="inlineStr">
        <is>
          <t>Alemanha</t>
        </is>
      </c>
      <c r="D13" s="41" t="n"/>
      <c r="E13" s="33" t="inlineStr">
        <is>
          <t>X</t>
        </is>
      </c>
      <c r="F13" s="41" t="n"/>
      <c r="G13" s="46" t="inlineStr">
        <is>
          <t>Curaçau</t>
        </is>
      </c>
      <c r="H13" s="42" t="n">
        <v>46187</v>
      </c>
      <c r="I13" s="43" t="n">
        <v>46187</v>
      </c>
      <c r="J13" s="44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40" t="n">
        <v>10</v>
      </c>
      <c r="B14" s="40" t="inlineStr">
        <is>
          <t>F</t>
        </is>
      </c>
      <c r="C14" s="46" t="inlineStr">
        <is>
          <t>Holanda</t>
        </is>
      </c>
      <c r="D14" s="41" t="n"/>
      <c r="E14" s="33" t="inlineStr">
        <is>
          <t>X</t>
        </is>
      </c>
      <c r="F14" s="41" t="n"/>
      <c r="G14" s="46" t="inlineStr">
        <is>
          <t>Japão</t>
        </is>
      </c>
      <c r="H14" s="42" t="n">
        <v>46187</v>
      </c>
      <c r="I14" s="43" t="n">
        <v>46187</v>
      </c>
      <c r="J14" s="44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40" t="n">
        <v>11</v>
      </c>
      <c r="B15" s="40" t="inlineStr">
        <is>
          <t>E</t>
        </is>
      </c>
      <c r="C15" s="46" t="inlineStr">
        <is>
          <t>Costa do Marfim</t>
        </is>
      </c>
      <c r="D15" s="41" t="n"/>
      <c r="E15" s="33" t="inlineStr">
        <is>
          <t>X</t>
        </is>
      </c>
      <c r="F15" s="41" t="n"/>
      <c r="G15" s="46" t="inlineStr">
        <is>
          <t>Equador</t>
        </is>
      </c>
      <c r="H15" s="42" t="n">
        <v>46187</v>
      </c>
      <c r="I15" s="43" t="n">
        <v>46187</v>
      </c>
      <c r="J15" s="44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40" t="n">
        <v>12</v>
      </c>
      <c r="B16" s="40" t="inlineStr">
        <is>
          <t>F</t>
        </is>
      </c>
      <c r="C16" s="46" t="inlineStr">
        <is>
          <t>Suécia</t>
        </is>
      </c>
      <c r="D16" s="41" t="n"/>
      <c r="E16" s="33" t="inlineStr">
        <is>
          <t>X</t>
        </is>
      </c>
      <c r="F16" s="41" t="n"/>
      <c r="G16" s="46" t="inlineStr">
        <is>
          <t>Tunísia</t>
        </is>
      </c>
      <c r="H16" s="42" t="n">
        <v>46187</v>
      </c>
      <c r="I16" s="43" t="n">
        <v>46187</v>
      </c>
      <c r="J16" s="44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40" t="n">
        <v>13</v>
      </c>
      <c r="B17" s="40" t="inlineStr">
        <is>
          <t>H</t>
        </is>
      </c>
      <c r="C17" s="46" t="inlineStr">
        <is>
          <t>Espanha</t>
        </is>
      </c>
      <c r="D17" s="41" t="n"/>
      <c r="E17" s="33" t="inlineStr">
        <is>
          <t>X</t>
        </is>
      </c>
      <c r="F17" s="41" t="n"/>
      <c r="G17" s="46" t="inlineStr">
        <is>
          <t>Cabo Verde</t>
        </is>
      </c>
      <c r="H17" s="42" t="n">
        <v>46188</v>
      </c>
      <c r="I17" s="43" t="n">
        <v>46188</v>
      </c>
      <c r="J17" s="44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40" t="n">
        <v>14</v>
      </c>
      <c r="B18" s="40" t="inlineStr">
        <is>
          <t>G</t>
        </is>
      </c>
      <c r="C18" s="46" t="inlineStr">
        <is>
          <t>Bélgica</t>
        </is>
      </c>
      <c r="D18" s="41" t="n"/>
      <c r="E18" s="33" t="inlineStr">
        <is>
          <t>X</t>
        </is>
      </c>
      <c r="F18" s="41" t="n"/>
      <c r="G18" s="46" t="inlineStr">
        <is>
          <t>Egito</t>
        </is>
      </c>
      <c r="H18" s="42" t="n">
        <v>46188</v>
      </c>
      <c r="I18" s="43" t="n">
        <v>46188</v>
      </c>
      <c r="J18" s="44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40" t="n">
        <v>15</v>
      </c>
      <c r="B19" s="40" t="inlineStr">
        <is>
          <t>H</t>
        </is>
      </c>
      <c r="C19" s="46" t="inlineStr">
        <is>
          <t>Arábia Saudita</t>
        </is>
      </c>
      <c r="D19" s="41" t="n"/>
      <c r="E19" s="33" t="inlineStr">
        <is>
          <t>X</t>
        </is>
      </c>
      <c r="F19" s="41" t="n"/>
      <c r="G19" s="46" t="inlineStr">
        <is>
          <t>Uruguai</t>
        </is>
      </c>
      <c r="H19" s="42" t="n">
        <v>46188</v>
      </c>
      <c r="I19" s="43" t="n">
        <v>46188</v>
      </c>
      <c r="J19" s="44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40" t="n">
        <v>16</v>
      </c>
      <c r="B20" s="40" t="inlineStr">
        <is>
          <t>G</t>
        </is>
      </c>
      <c r="C20" s="46" t="inlineStr">
        <is>
          <t>Irã</t>
        </is>
      </c>
      <c r="D20" s="41" t="n"/>
      <c r="E20" s="33" t="inlineStr">
        <is>
          <t>X</t>
        </is>
      </c>
      <c r="F20" s="41" t="n"/>
      <c r="G20" s="46" t="inlineStr">
        <is>
          <t>Nova Zelândia</t>
        </is>
      </c>
      <c r="H20" s="42" t="n">
        <v>46188</v>
      </c>
      <c r="I20" s="43" t="n">
        <v>46188</v>
      </c>
      <c r="J20" s="44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40" t="n">
        <v>17</v>
      </c>
      <c r="B21" s="40" t="inlineStr">
        <is>
          <t>I</t>
        </is>
      </c>
      <c r="C21" s="46" t="inlineStr">
        <is>
          <t>França</t>
        </is>
      </c>
      <c r="D21" s="41" t="n">
        <v>1</v>
      </c>
      <c r="E21" s="33" t="inlineStr">
        <is>
          <t>X</t>
        </is>
      </c>
      <c r="F21" s="41" t="n">
        <v>1</v>
      </c>
      <c r="G21" s="46" t="inlineStr">
        <is>
          <t>Senegal</t>
        </is>
      </c>
      <c r="H21" s="42" t="n">
        <v>46189</v>
      </c>
      <c r="I21" s="43" t="n">
        <v>46189</v>
      </c>
      <c r="J21" s="44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40" t="n">
        <v>18</v>
      </c>
      <c r="B22" s="40" t="inlineStr">
        <is>
          <t>I</t>
        </is>
      </c>
      <c r="C22" s="46" t="inlineStr">
        <is>
          <t>Iraque</t>
        </is>
      </c>
      <c r="D22" s="41" t="n">
        <v>0</v>
      </c>
      <c r="E22" s="33" t="inlineStr">
        <is>
          <t>X</t>
        </is>
      </c>
      <c r="F22" s="41" t="n">
        <v>2</v>
      </c>
      <c r="G22" s="46" t="inlineStr">
        <is>
          <t>Noruega</t>
        </is>
      </c>
      <c r="H22" s="42" t="n">
        <v>46189</v>
      </c>
      <c r="I22" s="43" t="n">
        <v>46189</v>
      </c>
      <c r="J22" s="44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40" t="n">
        <v>19</v>
      </c>
      <c r="B23" s="40" t="inlineStr">
        <is>
          <t>J</t>
        </is>
      </c>
      <c r="C23" s="46" t="inlineStr">
        <is>
          <t>Argentina</t>
        </is>
      </c>
      <c r="D23" s="41" t="n">
        <v>2</v>
      </c>
      <c r="E23" s="33" t="inlineStr">
        <is>
          <t>X</t>
        </is>
      </c>
      <c r="F23" s="41" t="n">
        <v>0</v>
      </c>
      <c r="G23" s="46" t="inlineStr">
        <is>
          <t>Argélia</t>
        </is>
      </c>
      <c r="H23" s="42" t="n">
        <v>46189</v>
      </c>
      <c r="I23" s="43" t="n">
        <v>46189</v>
      </c>
      <c r="J23" s="44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40" t="n">
        <v>20</v>
      </c>
      <c r="B24" s="40" t="inlineStr">
        <is>
          <t>J</t>
        </is>
      </c>
      <c r="C24" s="46" t="inlineStr">
        <is>
          <t>Áustria</t>
        </is>
      </c>
      <c r="D24" s="41" t="n">
        <v>2</v>
      </c>
      <c r="E24" s="33" t="inlineStr">
        <is>
          <t>X</t>
        </is>
      </c>
      <c r="F24" s="41" t="n">
        <v>0</v>
      </c>
      <c r="G24" s="46" t="inlineStr">
        <is>
          <t>Jordânia</t>
        </is>
      </c>
      <c r="H24" s="42" t="n">
        <v>46190</v>
      </c>
      <c r="I24" s="43" t="n">
        <v>46190</v>
      </c>
      <c r="J24" s="44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40" t="n">
        <v>21</v>
      </c>
      <c r="B25" s="40" t="inlineStr">
        <is>
          <t>K</t>
        </is>
      </c>
      <c r="C25" s="46" t="inlineStr">
        <is>
          <t>Portugal</t>
        </is>
      </c>
      <c r="D25" s="41" t="n">
        <v>2</v>
      </c>
      <c r="E25" s="33" t="inlineStr">
        <is>
          <t>X</t>
        </is>
      </c>
      <c r="F25" s="41" t="n">
        <v>0</v>
      </c>
      <c r="G25" s="46" t="inlineStr">
        <is>
          <t>RD Congo</t>
        </is>
      </c>
      <c r="H25" s="42" t="n">
        <v>46190</v>
      </c>
      <c r="I25" s="43" t="n">
        <v>46190</v>
      </c>
      <c r="J25" s="44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40" t="n">
        <v>22</v>
      </c>
      <c r="B26" s="40" t="inlineStr">
        <is>
          <t>L</t>
        </is>
      </c>
      <c r="C26" s="46" t="inlineStr">
        <is>
          <t>Inglaterra</t>
        </is>
      </c>
      <c r="D26" s="41" t="n">
        <v>2</v>
      </c>
      <c r="E26" s="33" t="inlineStr">
        <is>
          <t>X</t>
        </is>
      </c>
      <c r="F26" s="41" t="n">
        <v>1</v>
      </c>
      <c r="G26" s="46" t="inlineStr">
        <is>
          <t>Croácia</t>
        </is>
      </c>
      <c r="H26" s="42" t="n">
        <v>46190</v>
      </c>
      <c r="I26" s="43" t="n">
        <v>46190</v>
      </c>
      <c r="J26" s="44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40" t="n">
        <v>23</v>
      </c>
      <c r="B27" s="40" t="inlineStr">
        <is>
          <t>L</t>
        </is>
      </c>
      <c r="C27" s="46" t="inlineStr">
        <is>
          <t>Gana</t>
        </is>
      </c>
      <c r="D27" s="41" t="n">
        <v>2</v>
      </c>
      <c r="E27" s="33" t="inlineStr">
        <is>
          <t>X</t>
        </is>
      </c>
      <c r="F27" s="41" t="n">
        <v>1</v>
      </c>
      <c r="G27" s="46" t="inlineStr">
        <is>
          <t>Panamá</t>
        </is>
      </c>
      <c r="H27" s="42" t="n">
        <v>46190</v>
      </c>
      <c r="I27" s="43" t="n">
        <v>46190</v>
      </c>
      <c r="J27" s="44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40" t="n">
        <v>24</v>
      </c>
      <c r="B28" s="40" t="inlineStr">
        <is>
          <t>K</t>
        </is>
      </c>
      <c r="C28" s="46" t="inlineStr">
        <is>
          <t>Uzbequistão</t>
        </is>
      </c>
      <c r="D28" s="41" t="n">
        <v>0</v>
      </c>
      <c r="E28" s="33" t="inlineStr">
        <is>
          <t>X</t>
        </is>
      </c>
      <c r="F28" s="41" t="n">
        <v>2</v>
      </c>
      <c r="G28" s="46" t="inlineStr">
        <is>
          <t>Colômbia</t>
        </is>
      </c>
      <c r="H28" s="42" t="n">
        <v>46190</v>
      </c>
      <c r="I28" s="43" t="n">
        <v>46190</v>
      </c>
      <c r="J28" s="44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40" t="n">
        <v>25</v>
      </c>
      <c r="B29" s="40" t="inlineStr">
        <is>
          <t>A</t>
        </is>
      </c>
      <c r="C29" s="46" t="inlineStr">
        <is>
          <t>Tchéquia</t>
        </is>
      </c>
      <c r="D29" s="41" t="n">
        <v>2</v>
      </c>
      <c r="E29" s="33" t="inlineStr">
        <is>
          <t>X</t>
        </is>
      </c>
      <c r="F29" s="41" t="n">
        <v>0</v>
      </c>
      <c r="G29" s="46" t="inlineStr">
        <is>
          <t>África do Sul</t>
        </is>
      </c>
      <c r="H29" s="42" t="n">
        <v>46191</v>
      </c>
      <c r="I29" s="43" t="n">
        <v>46191</v>
      </c>
      <c r="J29" s="44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40" t="n">
        <v>26</v>
      </c>
      <c r="B30" s="40" t="inlineStr">
        <is>
          <t>B</t>
        </is>
      </c>
      <c r="C30" s="46" t="inlineStr">
        <is>
          <t>Suíça</t>
        </is>
      </c>
      <c r="D30" s="41" t="n">
        <v>2</v>
      </c>
      <c r="E30" s="33" t="inlineStr">
        <is>
          <t>X</t>
        </is>
      </c>
      <c r="F30" s="41" t="n">
        <v>0</v>
      </c>
      <c r="G30" s="46" t="inlineStr">
        <is>
          <t>Bósnia</t>
        </is>
      </c>
      <c r="H30" s="42" t="n">
        <v>46191</v>
      </c>
      <c r="I30" s="43" t="n">
        <v>46191</v>
      </c>
      <c r="J30" s="44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40" t="n">
        <v>27</v>
      </c>
      <c r="B31" s="40" t="inlineStr">
        <is>
          <t>B</t>
        </is>
      </c>
      <c r="C31" s="46" t="inlineStr">
        <is>
          <t>Canadá</t>
        </is>
      </c>
      <c r="D31" s="41" t="n">
        <v>2</v>
      </c>
      <c r="E31" s="33" t="inlineStr">
        <is>
          <t>X</t>
        </is>
      </c>
      <c r="F31" s="41" t="n">
        <v>1</v>
      </c>
      <c r="G31" s="46" t="inlineStr">
        <is>
          <t>Catar</t>
        </is>
      </c>
      <c r="H31" s="42" t="n">
        <v>46191</v>
      </c>
      <c r="I31" s="43" t="n">
        <v>46191</v>
      </c>
      <c r="J31" s="44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40" t="n">
        <v>28</v>
      </c>
      <c r="B32" s="40" t="inlineStr">
        <is>
          <t>A</t>
        </is>
      </c>
      <c r="C32" s="46" t="inlineStr">
        <is>
          <t>México</t>
        </is>
      </c>
      <c r="D32" s="41" t="n">
        <v>1</v>
      </c>
      <c r="E32" s="33" t="inlineStr">
        <is>
          <t>X</t>
        </is>
      </c>
      <c r="F32" s="41" t="n">
        <v>2</v>
      </c>
      <c r="G32" s="46" t="inlineStr">
        <is>
          <t>Coreia do Sul</t>
        </is>
      </c>
      <c r="H32" s="42" t="n">
        <v>46191</v>
      </c>
      <c r="I32" s="43" t="n">
        <v>46191</v>
      </c>
      <c r="J32" s="44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40" t="n">
        <v>29</v>
      </c>
      <c r="B33" s="40" t="inlineStr">
        <is>
          <t>D</t>
        </is>
      </c>
      <c r="C33" s="46" t="inlineStr">
        <is>
          <t>EUA</t>
        </is>
      </c>
      <c r="D33" s="41" t="n">
        <v>2</v>
      </c>
      <c r="E33" s="33" t="inlineStr">
        <is>
          <t>X</t>
        </is>
      </c>
      <c r="F33" s="41" t="n">
        <v>1</v>
      </c>
      <c r="G33" s="46" t="inlineStr">
        <is>
          <t>Austrália</t>
        </is>
      </c>
      <c r="H33" s="42" t="n">
        <v>46192</v>
      </c>
      <c r="I33" s="43" t="n">
        <v>46192</v>
      </c>
      <c r="J33" s="44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40" t="n">
        <v>30</v>
      </c>
      <c r="B34" s="40" t="inlineStr">
        <is>
          <t>C</t>
        </is>
      </c>
      <c r="C34" s="46" t="inlineStr">
        <is>
          <t>Marrocos</t>
        </is>
      </c>
      <c r="D34" s="41" t="n">
        <v>1</v>
      </c>
      <c r="E34" s="33" t="inlineStr">
        <is>
          <t>X</t>
        </is>
      </c>
      <c r="F34" s="41" t="n">
        <v>0</v>
      </c>
      <c r="G34" s="46" t="inlineStr">
        <is>
          <t>Escócia</t>
        </is>
      </c>
      <c r="H34" s="42" t="n">
        <v>46192</v>
      </c>
      <c r="I34" s="43" t="n">
        <v>46192</v>
      </c>
      <c r="J34" s="44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40" t="n">
        <v>31</v>
      </c>
      <c r="B35" s="40" t="inlineStr">
        <is>
          <t>C</t>
        </is>
      </c>
      <c r="C35" s="47" t="inlineStr">
        <is>
          <t>Brasil</t>
        </is>
      </c>
      <c r="D35" s="41" t="n">
        <v>2</v>
      </c>
      <c r="E35" s="33" t="inlineStr">
        <is>
          <t>X</t>
        </is>
      </c>
      <c r="F35" s="41" t="n">
        <v>0</v>
      </c>
      <c r="G35" s="46" t="inlineStr">
        <is>
          <t>Haiti</t>
        </is>
      </c>
      <c r="H35" s="42" t="n">
        <v>46192</v>
      </c>
      <c r="I35" s="43" t="n">
        <v>46192</v>
      </c>
      <c r="J35" s="44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40" t="n">
        <v>32</v>
      </c>
      <c r="B36" s="40" t="inlineStr">
        <is>
          <t>D</t>
        </is>
      </c>
      <c r="C36" s="46" t="inlineStr">
        <is>
          <t>Turquia</t>
        </is>
      </c>
      <c r="D36" s="41" t="n">
        <v>1</v>
      </c>
      <c r="E36" s="33" t="inlineStr">
        <is>
          <t>X</t>
        </is>
      </c>
      <c r="F36" s="41" t="n">
        <v>0</v>
      </c>
      <c r="G36" s="46" t="inlineStr">
        <is>
          <t>Paraguai</t>
        </is>
      </c>
      <c r="H36" s="42" t="n">
        <v>46193</v>
      </c>
      <c r="I36" s="43" t="n">
        <v>46193</v>
      </c>
      <c r="J36" s="44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40" t="n">
        <v>33</v>
      </c>
      <c r="B37" s="40" t="inlineStr">
        <is>
          <t>F</t>
        </is>
      </c>
      <c r="C37" s="46" t="inlineStr">
        <is>
          <t>Holanda</t>
        </is>
      </c>
      <c r="D37" s="41" t="n">
        <v>2</v>
      </c>
      <c r="E37" s="33" t="inlineStr">
        <is>
          <t>X</t>
        </is>
      </c>
      <c r="F37" s="41" t="n">
        <v>1</v>
      </c>
      <c r="G37" s="46" t="inlineStr">
        <is>
          <t>Suécia</t>
        </is>
      </c>
      <c r="H37" s="42" t="n">
        <v>46193</v>
      </c>
      <c r="I37" s="43" t="n">
        <v>46193</v>
      </c>
      <c r="J37" s="44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40" t="n">
        <v>34</v>
      </c>
      <c r="B38" s="40" t="inlineStr">
        <is>
          <t>E</t>
        </is>
      </c>
      <c r="C38" s="46" t="inlineStr">
        <is>
          <t>Alemanha</t>
        </is>
      </c>
      <c r="D38" s="41" t="n">
        <v>2</v>
      </c>
      <c r="E38" s="33" t="inlineStr">
        <is>
          <t>X</t>
        </is>
      </c>
      <c r="F38" s="41" t="n">
        <v>1</v>
      </c>
      <c r="G38" s="46" t="inlineStr">
        <is>
          <t>Costa do Marfim</t>
        </is>
      </c>
      <c r="H38" s="42" t="n">
        <v>46193</v>
      </c>
      <c r="I38" s="43" t="n">
        <v>46193</v>
      </c>
      <c r="J38" s="44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40" t="n">
        <v>35</v>
      </c>
      <c r="B39" s="40" t="inlineStr">
        <is>
          <t>E</t>
        </is>
      </c>
      <c r="C39" s="46" t="inlineStr">
        <is>
          <t>Equador</t>
        </is>
      </c>
      <c r="D39" s="41" t="n">
        <v>2</v>
      </c>
      <c r="E39" s="33" t="inlineStr">
        <is>
          <t>X</t>
        </is>
      </c>
      <c r="F39" s="41" t="n">
        <v>0</v>
      </c>
      <c r="G39" s="46" t="inlineStr">
        <is>
          <t>Curaçau</t>
        </is>
      </c>
      <c r="H39" s="42" t="n">
        <v>46193</v>
      </c>
      <c r="I39" s="43" t="n">
        <v>46193</v>
      </c>
      <c r="J39" s="44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40" t="n">
        <v>36</v>
      </c>
      <c r="B40" s="40" t="inlineStr">
        <is>
          <t>F</t>
        </is>
      </c>
      <c r="C40" s="46" t="inlineStr">
        <is>
          <t>Tunísia</t>
        </is>
      </c>
      <c r="D40" s="41" t="n">
        <v>0</v>
      </c>
      <c r="E40" s="33" t="inlineStr">
        <is>
          <t>X</t>
        </is>
      </c>
      <c r="F40" s="41" t="n">
        <v>2</v>
      </c>
      <c r="G40" s="46" t="inlineStr">
        <is>
          <t>Japão</t>
        </is>
      </c>
      <c r="H40" s="42" t="n">
        <v>46194</v>
      </c>
      <c r="I40" s="43" t="n">
        <v>46194</v>
      </c>
      <c r="J40" s="44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40" t="n">
        <v>37</v>
      </c>
      <c r="B41" s="40" t="inlineStr">
        <is>
          <t>H</t>
        </is>
      </c>
      <c r="C41" s="46" t="inlineStr">
        <is>
          <t>Espanha</t>
        </is>
      </c>
      <c r="D41" s="41" t="n">
        <v>2</v>
      </c>
      <c r="E41" s="33" t="inlineStr">
        <is>
          <t>X</t>
        </is>
      </c>
      <c r="F41" s="41" t="n">
        <v>0</v>
      </c>
      <c r="G41" s="46" t="inlineStr">
        <is>
          <t>Arábia Saudita</t>
        </is>
      </c>
      <c r="H41" s="42" t="n">
        <v>46194</v>
      </c>
      <c r="I41" s="43" t="n">
        <v>46194</v>
      </c>
      <c r="J41" s="44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40" t="n">
        <v>38</v>
      </c>
      <c r="B42" s="40" t="inlineStr">
        <is>
          <t>G</t>
        </is>
      </c>
      <c r="C42" s="46" t="inlineStr">
        <is>
          <t>Bélgica</t>
        </is>
      </c>
      <c r="D42" s="41" t="n">
        <v>2</v>
      </c>
      <c r="E42" s="33" t="inlineStr">
        <is>
          <t>X</t>
        </is>
      </c>
      <c r="F42" s="41" t="n">
        <v>1</v>
      </c>
      <c r="G42" s="46" t="inlineStr">
        <is>
          <t>Irã</t>
        </is>
      </c>
      <c r="H42" s="42" t="n">
        <v>46194</v>
      </c>
      <c r="I42" s="43" t="n">
        <v>46194</v>
      </c>
      <c r="J42" s="44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40" t="n">
        <v>39</v>
      </c>
      <c r="B43" s="40" t="inlineStr">
        <is>
          <t>H</t>
        </is>
      </c>
      <c r="C43" s="46" t="inlineStr">
        <is>
          <t>Uruguai</t>
        </is>
      </c>
      <c r="D43" s="41" t="n">
        <v>2</v>
      </c>
      <c r="E43" s="33" t="inlineStr">
        <is>
          <t>X</t>
        </is>
      </c>
      <c r="F43" s="41" t="n">
        <v>0</v>
      </c>
      <c r="G43" s="46" t="inlineStr">
        <is>
          <t>Cabo Verde</t>
        </is>
      </c>
      <c r="H43" s="42" t="n">
        <v>46194</v>
      </c>
      <c r="I43" s="43" t="n">
        <v>46194</v>
      </c>
      <c r="J43" s="44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40" t="n">
        <v>40</v>
      </c>
      <c r="B44" s="40" t="inlineStr">
        <is>
          <t>G</t>
        </is>
      </c>
      <c r="C44" s="46" t="inlineStr">
        <is>
          <t>Nova Zelândia</t>
        </is>
      </c>
      <c r="D44" s="41" t="n">
        <v>0</v>
      </c>
      <c r="E44" s="33" t="inlineStr">
        <is>
          <t>X</t>
        </is>
      </c>
      <c r="F44" s="41" t="n">
        <v>1</v>
      </c>
      <c r="G44" s="46" t="inlineStr">
        <is>
          <t>Egito</t>
        </is>
      </c>
      <c r="H44" s="42" t="n">
        <v>46194</v>
      </c>
      <c r="I44" s="43" t="n">
        <v>46194</v>
      </c>
      <c r="J44" s="44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40" t="n">
        <v>41</v>
      </c>
      <c r="B45" s="40" t="inlineStr">
        <is>
          <t>I</t>
        </is>
      </c>
      <c r="C45" s="46" t="inlineStr">
        <is>
          <t>França</t>
        </is>
      </c>
      <c r="D45" s="41" t="n">
        <v>3</v>
      </c>
      <c r="E45" s="33" t="inlineStr">
        <is>
          <t>X</t>
        </is>
      </c>
      <c r="F45" s="41" t="n">
        <v>0</v>
      </c>
      <c r="G45" s="46" t="inlineStr">
        <is>
          <t>Iraque</t>
        </is>
      </c>
      <c r="H45" s="42" t="n">
        <v>46195</v>
      </c>
      <c r="I45" s="43" t="n">
        <v>46195</v>
      </c>
      <c r="J45" s="44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40" t="n">
        <v>42</v>
      </c>
      <c r="B46" s="40" t="inlineStr">
        <is>
          <t>I</t>
        </is>
      </c>
      <c r="C46" s="46" t="inlineStr">
        <is>
          <t>Noruega</t>
        </is>
      </c>
      <c r="D46" s="41" t="n">
        <v>1</v>
      </c>
      <c r="E46" s="33" t="inlineStr">
        <is>
          <t>X</t>
        </is>
      </c>
      <c r="F46" s="41" t="n">
        <v>1</v>
      </c>
      <c r="G46" s="46" t="inlineStr">
        <is>
          <t>Senegal</t>
        </is>
      </c>
      <c r="H46" s="42" t="n">
        <v>46195</v>
      </c>
      <c r="I46" s="43" t="n">
        <v>46195</v>
      </c>
      <c r="J46" s="44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40" t="n">
        <v>43</v>
      </c>
      <c r="B47" s="40" t="inlineStr">
        <is>
          <t>J</t>
        </is>
      </c>
      <c r="C47" s="46" t="inlineStr">
        <is>
          <t>Argentina</t>
        </is>
      </c>
      <c r="D47" s="41" t="n">
        <v>2</v>
      </c>
      <c r="E47" s="33" t="inlineStr">
        <is>
          <t>X</t>
        </is>
      </c>
      <c r="F47" s="41" t="n">
        <v>1</v>
      </c>
      <c r="G47" s="46" t="inlineStr">
        <is>
          <t>Áustria</t>
        </is>
      </c>
      <c r="H47" s="42" t="n">
        <v>46195</v>
      </c>
      <c r="I47" s="43" t="n">
        <v>46195</v>
      </c>
      <c r="J47" s="44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40" t="n">
        <v>44</v>
      </c>
      <c r="B48" s="40" t="inlineStr">
        <is>
          <t>J</t>
        </is>
      </c>
      <c r="C48" s="46" t="inlineStr">
        <is>
          <t>Jordânia</t>
        </is>
      </c>
      <c r="D48" s="41" t="n">
        <v>0</v>
      </c>
      <c r="E48" s="33" t="inlineStr">
        <is>
          <t>X</t>
        </is>
      </c>
      <c r="F48" s="41" t="n">
        <v>2</v>
      </c>
      <c r="G48" s="46" t="inlineStr">
        <is>
          <t>Argélia</t>
        </is>
      </c>
      <c r="H48" s="42" t="n">
        <v>46196</v>
      </c>
      <c r="I48" s="43" t="n">
        <v>46196</v>
      </c>
      <c r="J48" s="44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40" t="n">
        <v>45</v>
      </c>
      <c r="B49" s="40" t="inlineStr">
        <is>
          <t>K</t>
        </is>
      </c>
      <c r="C49" s="46" t="inlineStr">
        <is>
          <t>Portugal</t>
        </is>
      </c>
      <c r="D49" s="41" t="n">
        <v>3</v>
      </c>
      <c r="E49" s="33" t="inlineStr">
        <is>
          <t>X</t>
        </is>
      </c>
      <c r="F49" s="41" t="n">
        <v>0</v>
      </c>
      <c r="G49" s="46" t="inlineStr">
        <is>
          <t>Uzbequistão</t>
        </is>
      </c>
      <c r="H49" s="42" t="n">
        <v>46196</v>
      </c>
      <c r="I49" s="43" t="n">
        <v>46196</v>
      </c>
      <c r="J49" s="44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40" t="n">
        <v>46</v>
      </c>
      <c r="B50" s="40" t="inlineStr">
        <is>
          <t>L</t>
        </is>
      </c>
      <c r="C50" s="46" t="inlineStr">
        <is>
          <t>Inglaterra</t>
        </is>
      </c>
      <c r="D50" s="41" t="n">
        <v>3</v>
      </c>
      <c r="E50" s="33" t="inlineStr">
        <is>
          <t>X</t>
        </is>
      </c>
      <c r="F50" s="41" t="n">
        <v>0</v>
      </c>
      <c r="G50" s="46" t="inlineStr">
        <is>
          <t>Gana</t>
        </is>
      </c>
      <c r="H50" s="42" t="n">
        <v>46196</v>
      </c>
      <c r="I50" s="43" t="n">
        <v>46196</v>
      </c>
      <c r="J50" s="44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40" t="n">
        <v>47</v>
      </c>
      <c r="B51" s="40" t="inlineStr">
        <is>
          <t>L</t>
        </is>
      </c>
      <c r="C51" s="46" t="inlineStr">
        <is>
          <t>Panamá</t>
        </is>
      </c>
      <c r="D51" s="41" t="n">
        <v>1</v>
      </c>
      <c r="E51" s="33" t="inlineStr">
        <is>
          <t>X</t>
        </is>
      </c>
      <c r="F51" s="41" t="n">
        <v>2</v>
      </c>
      <c r="G51" s="46" t="inlineStr">
        <is>
          <t>Croácia</t>
        </is>
      </c>
      <c r="H51" s="42" t="n">
        <v>46196</v>
      </c>
      <c r="I51" s="43" t="n">
        <v>46196</v>
      </c>
      <c r="J51" s="44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40" t="n">
        <v>48</v>
      </c>
      <c r="B52" s="40" t="inlineStr">
        <is>
          <t>K</t>
        </is>
      </c>
      <c r="C52" s="46" t="inlineStr">
        <is>
          <t>Colômbia</t>
        </is>
      </c>
      <c r="D52" s="41" t="n">
        <v>2</v>
      </c>
      <c r="E52" s="33" t="inlineStr">
        <is>
          <t>X</t>
        </is>
      </c>
      <c r="F52" s="41" t="n">
        <v>0</v>
      </c>
      <c r="G52" s="46" t="inlineStr">
        <is>
          <t>RD Congo</t>
        </is>
      </c>
      <c r="H52" s="42" t="n">
        <v>46196</v>
      </c>
      <c r="I52" s="43" t="n">
        <v>46196</v>
      </c>
      <c r="J52" s="44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40" t="n">
        <v>49</v>
      </c>
      <c r="B53" s="40" t="inlineStr">
        <is>
          <t>B</t>
        </is>
      </c>
      <c r="C53" s="46" t="inlineStr">
        <is>
          <t>Suíça</t>
        </is>
      </c>
      <c r="D53" s="41" t="n">
        <v>1</v>
      </c>
      <c r="E53" s="33" t="inlineStr">
        <is>
          <t>X</t>
        </is>
      </c>
      <c r="F53" s="41" t="n">
        <v>1</v>
      </c>
      <c r="G53" s="46" t="inlineStr">
        <is>
          <t>Canadá</t>
        </is>
      </c>
      <c r="H53" s="42" t="n">
        <v>46197</v>
      </c>
      <c r="I53" s="43" t="n">
        <v>46197</v>
      </c>
      <c r="J53" s="44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40" t="n">
        <v>50</v>
      </c>
      <c r="B54" s="40" t="inlineStr">
        <is>
          <t>B</t>
        </is>
      </c>
      <c r="C54" s="46" t="inlineStr">
        <is>
          <t>Bósnia</t>
        </is>
      </c>
      <c r="D54" s="41" t="n">
        <v>1</v>
      </c>
      <c r="E54" s="33" t="inlineStr">
        <is>
          <t>X</t>
        </is>
      </c>
      <c r="F54" s="41" t="n">
        <v>1</v>
      </c>
      <c r="G54" s="46" t="inlineStr">
        <is>
          <t>Catar</t>
        </is>
      </c>
      <c r="H54" s="42" t="n">
        <v>46197</v>
      </c>
      <c r="I54" s="43" t="n">
        <v>46197</v>
      </c>
      <c r="J54" s="44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40" t="n">
        <v>51</v>
      </c>
      <c r="B55" s="40" t="inlineStr">
        <is>
          <t>C</t>
        </is>
      </c>
      <c r="C55" s="46" t="inlineStr">
        <is>
          <t>Escócia</t>
        </is>
      </c>
      <c r="D55" s="41" t="n">
        <v>1</v>
      </c>
      <c r="E55" s="33" t="inlineStr">
        <is>
          <t>X</t>
        </is>
      </c>
      <c r="F55" s="41" t="n">
        <v>1</v>
      </c>
      <c r="G55" s="47" t="inlineStr">
        <is>
          <t>Brasil</t>
        </is>
      </c>
      <c r="H55" s="42" t="n">
        <v>46197</v>
      </c>
      <c r="I55" s="43" t="n">
        <v>46197</v>
      </c>
      <c r="J55" s="44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40" t="n">
        <v>52</v>
      </c>
      <c r="B56" s="40" t="inlineStr">
        <is>
          <t>C</t>
        </is>
      </c>
      <c r="C56" s="46" t="inlineStr">
        <is>
          <t>Marrocos</t>
        </is>
      </c>
      <c r="D56" s="41" t="n">
        <v>2</v>
      </c>
      <c r="E56" s="33" t="inlineStr">
        <is>
          <t>X</t>
        </is>
      </c>
      <c r="F56" s="41" t="n">
        <v>0</v>
      </c>
      <c r="G56" s="46" t="inlineStr">
        <is>
          <t>Haiti</t>
        </is>
      </c>
      <c r="H56" s="42" t="n">
        <v>46197</v>
      </c>
      <c r="I56" s="43" t="n">
        <v>46197</v>
      </c>
      <c r="J56" s="44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40" t="n">
        <v>53</v>
      </c>
      <c r="B57" s="40" t="inlineStr">
        <is>
          <t>A</t>
        </is>
      </c>
      <c r="C57" s="46" t="inlineStr">
        <is>
          <t>Tchéquia</t>
        </is>
      </c>
      <c r="D57" s="41" t="n">
        <v>1</v>
      </c>
      <c r="E57" s="33" t="inlineStr">
        <is>
          <t>X</t>
        </is>
      </c>
      <c r="F57" s="41" t="n">
        <v>2</v>
      </c>
      <c r="G57" s="46" t="inlineStr">
        <is>
          <t>México</t>
        </is>
      </c>
      <c r="H57" s="42" t="n">
        <v>46197</v>
      </c>
      <c r="I57" s="43" t="n">
        <v>46197</v>
      </c>
      <c r="J57" s="44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40" t="n">
        <v>54</v>
      </c>
      <c r="B58" s="40" t="inlineStr">
        <is>
          <t>A</t>
        </is>
      </c>
      <c r="C58" s="46" t="inlineStr">
        <is>
          <t>África do Sul</t>
        </is>
      </c>
      <c r="D58" s="41" t="n">
        <v>1</v>
      </c>
      <c r="E58" s="33" t="inlineStr">
        <is>
          <t>X</t>
        </is>
      </c>
      <c r="F58" s="41" t="n">
        <v>2</v>
      </c>
      <c r="G58" s="46" t="inlineStr">
        <is>
          <t>Coreia do Sul</t>
        </is>
      </c>
      <c r="H58" s="42" t="n">
        <v>46197</v>
      </c>
      <c r="I58" s="43" t="n">
        <v>46197</v>
      </c>
      <c r="J58" s="44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40" t="n">
        <v>55</v>
      </c>
      <c r="B59" s="40" t="inlineStr">
        <is>
          <t>E</t>
        </is>
      </c>
      <c r="C59" s="46" t="inlineStr">
        <is>
          <t>Equador</t>
        </is>
      </c>
      <c r="D59" s="41" t="n">
        <v>1</v>
      </c>
      <c r="E59" s="33" t="inlineStr">
        <is>
          <t>X</t>
        </is>
      </c>
      <c r="F59" s="41" t="n">
        <v>2</v>
      </c>
      <c r="G59" s="46" t="inlineStr">
        <is>
          <t>Alemanha</t>
        </is>
      </c>
      <c r="H59" s="42" t="n">
        <v>46198</v>
      </c>
      <c r="I59" s="43" t="n">
        <v>46198</v>
      </c>
      <c r="J59" s="44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40" t="n">
        <v>56</v>
      </c>
      <c r="B60" s="40" t="inlineStr">
        <is>
          <t>E</t>
        </is>
      </c>
      <c r="C60" s="46" t="inlineStr">
        <is>
          <t>Curaçau</t>
        </is>
      </c>
      <c r="D60" s="41" t="n">
        <v>0</v>
      </c>
      <c r="E60" s="33" t="inlineStr">
        <is>
          <t>X</t>
        </is>
      </c>
      <c r="F60" s="41" t="n">
        <v>2</v>
      </c>
      <c r="G60" s="46" t="inlineStr">
        <is>
          <t>Costa do Marfim</t>
        </is>
      </c>
      <c r="H60" s="42" t="n">
        <v>46198</v>
      </c>
      <c r="I60" s="43" t="n">
        <v>46198</v>
      </c>
      <c r="J60" s="44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40" t="n">
        <v>57</v>
      </c>
      <c r="B61" s="40" t="inlineStr">
        <is>
          <t>D</t>
        </is>
      </c>
      <c r="C61" s="46" t="inlineStr">
        <is>
          <t>Turquia</t>
        </is>
      </c>
      <c r="D61" s="41" t="n">
        <v>1</v>
      </c>
      <c r="E61" s="33" t="inlineStr">
        <is>
          <t>X</t>
        </is>
      </c>
      <c r="F61" s="41" t="n">
        <v>1</v>
      </c>
      <c r="G61" s="46" t="inlineStr">
        <is>
          <t>EUA</t>
        </is>
      </c>
      <c r="H61" s="42" t="n">
        <v>46198</v>
      </c>
      <c r="I61" s="43" t="n">
        <v>46198</v>
      </c>
      <c r="J61" s="44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40" t="n">
        <v>58</v>
      </c>
      <c r="B62" s="40" t="inlineStr">
        <is>
          <t>D</t>
        </is>
      </c>
      <c r="C62" s="46" t="inlineStr">
        <is>
          <t>Paraguai</t>
        </is>
      </c>
      <c r="D62" s="41" t="n">
        <v>1</v>
      </c>
      <c r="E62" s="33" t="inlineStr">
        <is>
          <t>X</t>
        </is>
      </c>
      <c r="F62" s="41" t="n">
        <v>1</v>
      </c>
      <c r="G62" s="46" t="inlineStr">
        <is>
          <t>Austrália</t>
        </is>
      </c>
      <c r="H62" s="42" t="n">
        <v>46198</v>
      </c>
      <c r="I62" s="43" t="n">
        <v>46198</v>
      </c>
      <c r="J62" s="44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40" t="n">
        <v>59</v>
      </c>
      <c r="B63" s="40" t="inlineStr">
        <is>
          <t>F</t>
        </is>
      </c>
      <c r="C63" s="46" t="inlineStr">
        <is>
          <t>Tunísia</t>
        </is>
      </c>
      <c r="D63" s="41" t="n">
        <v>0</v>
      </c>
      <c r="E63" s="33" t="inlineStr">
        <is>
          <t>X</t>
        </is>
      </c>
      <c r="F63" s="41" t="n">
        <v>2</v>
      </c>
      <c r="G63" s="46" t="inlineStr">
        <is>
          <t>Holanda</t>
        </is>
      </c>
      <c r="H63" s="42" t="n">
        <v>46198</v>
      </c>
      <c r="I63" s="43" t="n">
        <v>46198</v>
      </c>
      <c r="J63" s="44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40" t="n">
        <v>60</v>
      </c>
      <c r="B64" s="40" t="inlineStr">
        <is>
          <t>F</t>
        </is>
      </c>
      <c r="C64" s="46" t="inlineStr">
        <is>
          <t>Japão</t>
        </is>
      </c>
      <c r="D64" s="41" t="n">
        <v>2</v>
      </c>
      <c r="E64" s="33" t="inlineStr">
        <is>
          <t>X</t>
        </is>
      </c>
      <c r="F64" s="41" t="n">
        <v>1</v>
      </c>
      <c r="G64" s="46" t="inlineStr">
        <is>
          <t>Suécia</t>
        </is>
      </c>
      <c r="H64" s="42" t="n">
        <v>46198</v>
      </c>
      <c r="I64" s="43" t="n">
        <v>46198</v>
      </c>
      <c r="J64" s="44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40" t="n">
        <v>61</v>
      </c>
      <c r="B65" s="40" t="inlineStr">
        <is>
          <t>I</t>
        </is>
      </c>
      <c r="C65" s="46" t="inlineStr">
        <is>
          <t>Noruega</t>
        </is>
      </c>
      <c r="D65" s="41" t="n">
        <v>1</v>
      </c>
      <c r="E65" s="33" t="inlineStr">
        <is>
          <t>X</t>
        </is>
      </c>
      <c r="F65" s="41" t="n">
        <v>2</v>
      </c>
      <c r="G65" s="46" t="inlineStr">
        <is>
          <t>França</t>
        </is>
      </c>
      <c r="H65" s="42" t="n">
        <v>46199</v>
      </c>
      <c r="I65" s="43" t="n">
        <v>46199</v>
      </c>
      <c r="J65" s="44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40" t="n">
        <v>62</v>
      </c>
      <c r="B66" s="40" t="inlineStr">
        <is>
          <t>I</t>
        </is>
      </c>
      <c r="C66" s="46" t="inlineStr">
        <is>
          <t>Senegal</t>
        </is>
      </c>
      <c r="D66" s="41" t="n">
        <v>2</v>
      </c>
      <c r="E66" s="33" t="inlineStr">
        <is>
          <t>X</t>
        </is>
      </c>
      <c r="F66" s="41" t="n">
        <v>0</v>
      </c>
      <c r="G66" s="46" t="inlineStr">
        <is>
          <t>Iraque</t>
        </is>
      </c>
      <c r="H66" s="42" t="n">
        <v>46199</v>
      </c>
      <c r="I66" s="43" t="n">
        <v>46199</v>
      </c>
      <c r="J66" s="44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40" t="n">
        <v>63</v>
      </c>
      <c r="B67" s="40" t="inlineStr">
        <is>
          <t>H</t>
        </is>
      </c>
      <c r="C67" s="46" t="inlineStr">
        <is>
          <t>Uruguai</t>
        </is>
      </c>
      <c r="D67" s="41" t="n">
        <v>2</v>
      </c>
      <c r="E67" s="33" t="inlineStr">
        <is>
          <t>X</t>
        </is>
      </c>
      <c r="F67" s="41" t="n">
        <v>1</v>
      </c>
      <c r="G67" s="46" t="inlineStr">
        <is>
          <t>Espanha</t>
        </is>
      </c>
      <c r="H67" s="42" t="n">
        <v>46199</v>
      </c>
      <c r="I67" s="43" t="n">
        <v>46199</v>
      </c>
      <c r="J67" s="44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40" t="n">
        <v>64</v>
      </c>
      <c r="B68" s="40" t="inlineStr">
        <is>
          <t>H</t>
        </is>
      </c>
      <c r="C68" s="46" t="inlineStr">
        <is>
          <t>Cabo Verde</t>
        </is>
      </c>
      <c r="D68" s="41" t="n">
        <v>1</v>
      </c>
      <c r="E68" s="33" t="inlineStr">
        <is>
          <t>X</t>
        </is>
      </c>
      <c r="F68" s="41" t="n">
        <v>1</v>
      </c>
      <c r="G68" s="46" t="inlineStr">
        <is>
          <t>Arábia Saudita</t>
        </is>
      </c>
      <c r="H68" s="42" t="n">
        <v>46199</v>
      </c>
      <c r="I68" s="43" t="n">
        <v>46199</v>
      </c>
      <c r="J68" s="44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40" t="n">
        <v>65</v>
      </c>
      <c r="B69" s="40" t="inlineStr">
        <is>
          <t>G</t>
        </is>
      </c>
      <c r="C69" s="46" t="inlineStr">
        <is>
          <t>Egito</t>
        </is>
      </c>
      <c r="D69" s="41" t="n">
        <v>1</v>
      </c>
      <c r="E69" s="33" t="inlineStr">
        <is>
          <t>X</t>
        </is>
      </c>
      <c r="F69" s="41" t="n">
        <v>1</v>
      </c>
      <c r="G69" s="46" t="inlineStr">
        <is>
          <t>Irã</t>
        </is>
      </c>
      <c r="H69" s="42" t="n">
        <v>46199</v>
      </c>
      <c r="I69" s="43" t="n">
        <v>46199</v>
      </c>
      <c r="J69" s="44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40" t="n">
        <v>66</v>
      </c>
      <c r="B70" s="40" t="inlineStr">
        <is>
          <t>G</t>
        </is>
      </c>
      <c r="C70" s="46" t="inlineStr">
        <is>
          <t>Nova Zelândia</t>
        </is>
      </c>
      <c r="D70" s="41" t="n">
        <v>1</v>
      </c>
      <c r="E70" s="33" t="inlineStr">
        <is>
          <t>X</t>
        </is>
      </c>
      <c r="F70" s="41" t="n">
        <v>2</v>
      </c>
      <c r="G70" s="46" t="inlineStr">
        <is>
          <t>Bélgica</t>
        </is>
      </c>
      <c r="H70" s="42" t="n">
        <v>46199</v>
      </c>
      <c r="I70" s="43" t="n">
        <v>46199</v>
      </c>
      <c r="J70" s="44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40" t="n">
        <v>67</v>
      </c>
      <c r="B71" s="40" t="inlineStr">
        <is>
          <t>J</t>
        </is>
      </c>
      <c r="C71" s="46" t="inlineStr">
        <is>
          <t>Argélia</t>
        </is>
      </c>
      <c r="D71" s="41" t="n">
        <v>1</v>
      </c>
      <c r="E71" s="33" t="inlineStr">
        <is>
          <t>X</t>
        </is>
      </c>
      <c r="F71" s="41" t="n">
        <v>1</v>
      </c>
      <c r="G71" s="46" t="inlineStr">
        <is>
          <t>Áustria</t>
        </is>
      </c>
      <c r="H71" s="42" t="n">
        <v>46200</v>
      </c>
      <c r="I71" s="43" t="n">
        <v>46200</v>
      </c>
      <c r="J71" s="44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40" t="n">
        <v>68</v>
      </c>
      <c r="B72" s="40" t="inlineStr">
        <is>
          <t>J</t>
        </is>
      </c>
      <c r="C72" s="46" t="inlineStr">
        <is>
          <t>Jordânia</t>
        </is>
      </c>
      <c r="D72" s="41" t="n">
        <v>0</v>
      </c>
      <c r="E72" s="33" t="inlineStr">
        <is>
          <t>X</t>
        </is>
      </c>
      <c r="F72" s="41" t="n">
        <v>2</v>
      </c>
      <c r="G72" s="46" t="inlineStr">
        <is>
          <t>Argentina</t>
        </is>
      </c>
      <c r="H72" s="42" t="n">
        <v>46200</v>
      </c>
      <c r="I72" s="43" t="n">
        <v>46200</v>
      </c>
      <c r="J72" s="44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40" t="n">
        <v>69</v>
      </c>
      <c r="B73" s="40" t="inlineStr">
        <is>
          <t>L</t>
        </is>
      </c>
      <c r="C73" s="46" t="inlineStr">
        <is>
          <t>Panamá</t>
        </is>
      </c>
      <c r="D73" s="41" t="n">
        <v>0</v>
      </c>
      <c r="E73" s="33" t="inlineStr">
        <is>
          <t>X</t>
        </is>
      </c>
      <c r="F73" s="41" t="n">
        <v>2</v>
      </c>
      <c r="G73" s="46" t="inlineStr">
        <is>
          <t>Inglaterra</t>
        </is>
      </c>
      <c r="H73" s="42" t="n">
        <v>46200</v>
      </c>
      <c r="I73" s="43" t="n">
        <v>46200</v>
      </c>
      <c r="J73" s="44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40" t="n">
        <v>70</v>
      </c>
      <c r="B74" s="40" t="inlineStr">
        <is>
          <t>L</t>
        </is>
      </c>
      <c r="C74" s="46" t="inlineStr">
        <is>
          <t>Croácia</t>
        </is>
      </c>
      <c r="D74" s="41" t="n">
        <v>2</v>
      </c>
      <c r="E74" s="33" t="inlineStr">
        <is>
          <t>X</t>
        </is>
      </c>
      <c r="F74" s="41" t="n">
        <v>0</v>
      </c>
      <c r="G74" s="46" t="inlineStr">
        <is>
          <t>Gana</t>
        </is>
      </c>
      <c r="H74" s="42" t="n">
        <v>46200</v>
      </c>
      <c r="I74" s="43" t="n">
        <v>46200</v>
      </c>
      <c r="J74" s="44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40" t="n">
        <v>71</v>
      </c>
      <c r="B75" s="40" t="inlineStr">
        <is>
          <t>K</t>
        </is>
      </c>
      <c r="C75" s="46" t="inlineStr">
        <is>
          <t>RD Congo</t>
        </is>
      </c>
      <c r="D75" s="41" t="n">
        <v>1</v>
      </c>
      <c r="E75" s="33" t="inlineStr">
        <is>
          <t>X</t>
        </is>
      </c>
      <c r="F75" s="41" t="n">
        <v>0</v>
      </c>
      <c r="G75" s="46" t="inlineStr">
        <is>
          <t>Uzbequistão</t>
        </is>
      </c>
      <c r="H75" s="42" t="n">
        <v>46200</v>
      </c>
      <c r="I75" s="43" t="n">
        <v>46200</v>
      </c>
      <c r="J75" s="44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40" t="n">
        <v>72</v>
      </c>
      <c r="B76" s="40" t="inlineStr">
        <is>
          <t>K</t>
        </is>
      </c>
      <c r="C76" s="46" t="inlineStr">
        <is>
          <t>Colômbia</t>
        </is>
      </c>
      <c r="D76" s="41" t="n">
        <v>1</v>
      </c>
      <c r="E76" s="33" t="inlineStr">
        <is>
          <t>X</t>
        </is>
      </c>
      <c r="F76" s="41" t="n">
        <v>2</v>
      </c>
      <c r="G76" s="46" t="inlineStr">
        <is>
          <t>Portugal</t>
        </is>
      </c>
      <c r="H76" s="42" t="n">
        <v>46200</v>
      </c>
      <c r="I76" s="43" t="n">
        <v>46200</v>
      </c>
      <c r="J76" s="44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1</v>
      </c>
      <c r="E77" t="inlineStr">
        <is>
          <t>X</t>
        </is>
      </c>
      <c r="F77" t="n">
        <v>3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4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0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1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1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3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0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2</v>
      </c>
      <c r="E83" t="inlineStr">
        <is>
          <t>X</t>
        </is>
      </c>
      <c r="F83" t="n">
        <v>1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3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2</v>
      </c>
      <c r="E86" t="inlineStr">
        <is>
          <t>X</t>
        </is>
      </c>
      <c r="F86" t="n">
        <v>1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3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3</v>
      </c>
      <c r="E88" t="inlineStr">
        <is>
          <t>X</t>
        </is>
      </c>
      <c r="F88" t="n">
        <v>2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1</v>
      </c>
      <c r="E89" t="inlineStr">
        <is>
          <t>X</t>
        </is>
      </c>
      <c r="F89" t="n">
        <v>2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4</v>
      </c>
      <c r="E90" t="inlineStr">
        <is>
          <t>X</t>
        </is>
      </c>
      <c r="F90" t="n">
        <v>1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3</v>
      </c>
      <c r="E91" t="inlineStr">
        <is>
          <t>X</t>
        </is>
      </c>
      <c r="F91" t="n">
        <v>1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2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3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3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2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3</v>
      </c>
      <c r="E95" t="inlineStr">
        <is>
          <t>X</t>
        </is>
      </c>
      <c r="F95" t="n">
        <v>2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1</v>
      </c>
      <c r="E96" t="inlineStr">
        <is>
          <t>X</t>
        </is>
      </c>
      <c r="F96" t="n">
        <v>2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3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1</v>
      </c>
      <c r="E98" t="inlineStr">
        <is>
          <t>X</t>
        </is>
      </c>
      <c r="F98" t="n">
        <v>1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0</v>
      </c>
      <c r="E100" t="inlineStr">
        <is>
          <t>X</t>
        </is>
      </c>
      <c r="F100" t="n">
        <v>2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1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2</v>
      </c>
      <c r="E101" t="inlineStr">
        <is>
          <t>X</t>
        </is>
      </c>
      <c r="F101" t="n">
        <v>0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1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0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1</v>
      </c>
      <c r="E105" t="inlineStr">
        <is>
          <t>X</t>
        </is>
      </c>
      <c r="F105" t="n">
        <v>2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2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2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3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6">
    <mergeCell ref="F1:I1"/>
    <mergeCell ref="G3:J3"/>
    <mergeCell ref="B3:C3"/>
    <mergeCell ref="A1:E1"/>
    <mergeCell ref="D3:F3"/>
    <mergeCell ref="B2:J2"/>
  </mergeCell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41" workbookViewId="0">
      <selection activeCell="K14" sqref="K14"/>
    </sheetView>
  </sheetViews>
  <sheetFormatPr baseColWidth="8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71" min="7" max="7"/>
    <col width="8.5703125" customWidth="1" min="8" max="9"/>
    <col width="11.140625" customWidth="1" min="10" max="10"/>
  </cols>
  <sheetData>
    <row r="1" ht="21.6" customHeight="1" thickBot="1">
      <c r="A1" s="95" t="inlineStr">
        <is>
          <t>COPA 2026 - TABELA DE APOSTAS</t>
        </is>
      </c>
      <c r="B1" s="114" t="n"/>
      <c r="C1" s="114" t="n"/>
      <c r="D1" s="114" t="n"/>
      <c r="E1" s="97" t="n"/>
      <c r="F1" s="98" t="inlineStr">
        <is>
          <t xml:space="preserve">Pagamento = Pix </t>
        </is>
      </c>
      <c r="G1" s="114" t="n"/>
      <c r="H1" s="114" t="n"/>
      <c r="I1" s="114" t="n"/>
      <c r="J1" s="120" t="n">
        <v>50</v>
      </c>
      <c r="K1" t="inlineStr">
        <is>
          <t>pago</t>
        </is>
      </c>
    </row>
    <row r="2" ht="20.45" customHeight="1" thickBot="1">
      <c r="A2" s="52" t="inlineStr">
        <is>
          <t>Nome:</t>
        </is>
      </c>
      <c r="B2" s="9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45" customHeight="1" thickBot="1">
      <c r="A3" s="53" t="inlineStr">
        <is>
          <t>Celular:</t>
        </is>
      </c>
      <c r="B3" s="100" t="n"/>
      <c r="C3" s="97" t="n"/>
      <c r="D3" s="101" t="inlineStr">
        <is>
          <t xml:space="preserve">e-mail: </t>
        </is>
      </c>
      <c r="E3" s="115" t="n"/>
      <c r="F3" s="103" t="n"/>
      <c r="G3" s="104" t="n"/>
      <c r="H3" s="115" t="n"/>
      <c r="I3" s="115" t="n"/>
      <c r="J3" s="103" t="n"/>
    </row>
    <row r="4" ht="13.5" customHeight="1">
      <c r="A4" s="54" t="inlineStr">
        <is>
          <t>JOGOS</t>
        </is>
      </c>
      <c r="B4" s="55" t="inlineStr">
        <is>
          <t>GRUPO</t>
        </is>
      </c>
      <c r="C4" s="56" t="n"/>
      <c r="D4" s="57" t="inlineStr">
        <is>
          <t>GOL A</t>
        </is>
      </c>
      <c r="E4" s="58" t="n"/>
      <c r="F4" s="57" t="inlineStr">
        <is>
          <t>GOL B</t>
        </is>
      </c>
      <c r="G4" s="59" t="n"/>
      <c r="H4" s="60" t="inlineStr">
        <is>
          <t>DIA</t>
        </is>
      </c>
      <c r="I4" s="59" t="n"/>
      <c r="J4" s="61" t="inlineStr">
        <is>
          <t>HORA</t>
        </is>
      </c>
    </row>
    <row r="5" ht="15" customHeight="1">
      <c r="A5" s="62" t="n">
        <v>1</v>
      </c>
      <c r="B5" s="62" t="inlineStr">
        <is>
          <t>A</t>
        </is>
      </c>
      <c r="C5" s="63" t="inlineStr">
        <is>
          <t>México</t>
        </is>
      </c>
      <c r="D5" s="64" t="n"/>
      <c r="E5" s="65" t="inlineStr">
        <is>
          <t>X</t>
        </is>
      </c>
      <c r="F5" s="64" t="n"/>
      <c r="G5" s="63" t="inlineStr">
        <is>
          <t>África do Sul</t>
        </is>
      </c>
      <c r="H5" s="66" t="n">
        <v>46184</v>
      </c>
      <c r="I5" s="67">
        <f>H5</f>
        <v/>
      </c>
      <c r="J5" s="68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62" t="n">
        <v>2</v>
      </c>
      <c r="B6" s="62" t="inlineStr">
        <is>
          <t>A</t>
        </is>
      </c>
      <c r="C6" s="63" t="inlineStr">
        <is>
          <t>Coreia do Sul</t>
        </is>
      </c>
      <c r="D6" s="64" t="n"/>
      <c r="E6" s="65" t="inlineStr">
        <is>
          <t>X</t>
        </is>
      </c>
      <c r="F6" s="64" t="n"/>
      <c r="G6" s="63" t="inlineStr">
        <is>
          <t>Tchéquia</t>
        </is>
      </c>
      <c r="H6" s="66" t="n">
        <v>46184</v>
      </c>
      <c r="I6" s="67">
        <f>H6</f>
        <v/>
      </c>
      <c r="J6" s="68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62" t="n">
        <v>3</v>
      </c>
      <c r="B7" s="62" t="inlineStr">
        <is>
          <t>B</t>
        </is>
      </c>
      <c r="C7" s="63" t="inlineStr">
        <is>
          <t>Canadá</t>
        </is>
      </c>
      <c r="D7" s="64" t="n"/>
      <c r="E7" s="65" t="inlineStr">
        <is>
          <t>X</t>
        </is>
      </c>
      <c r="F7" s="64" t="n"/>
      <c r="G7" s="63" t="inlineStr">
        <is>
          <t>Bósnia</t>
        </is>
      </c>
      <c r="H7" s="66" t="n">
        <v>46185</v>
      </c>
      <c r="I7" s="67">
        <f>H7</f>
        <v/>
      </c>
      <c r="J7" s="68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62" t="n">
        <v>4</v>
      </c>
      <c r="B8" s="62" t="inlineStr">
        <is>
          <t>D</t>
        </is>
      </c>
      <c r="C8" s="63" t="inlineStr">
        <is>
          <t>EUA</t>
        </is>
      </c>
      <c r="D8" s="64" t="n"/>
      <c r="E8" s="65" t="inlineStr">
        <is>
          <t>X</t>
        </is>
      </c>
      <c r="F8" s="64" t="n"/>
      <c r="G8" s="63" t="inlineStr">
        <is>
          <t>Paraguai</t>
        </is>
      </c>
      <c r="H8" s="66" t="n">
        <v>46185</v>
      </c>
      <c r="I8" s="67">
        <f>H8</f>
        <v/>
      </c>
      <c r="J8" s="68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62" t="n">
        <v>5</v>
      </c>
      <c r="B9" s="62" t="inlineStr">
        <is>
          <t>D</t>
        </is>
      </c>
      <c r="C9" s="63" t="inlineStr">
        <is>
          <t>Austrália</t>
        </is>
      </c>
      <c r="D9" s="64" t="n"/>
      <c r="E9" s="65" t="inlineStr">
        <is>
          <t>X</t>
        </is>
      </c>
      <c r="F9" s="64" t="n"/>
      <c r="G9" s="63" t="inlineStr">
        <is>
          <t>Turquia</t>
        </is>
      </c>
      <c r="H9" s="66" t="n">
        <v>46186</v>
      </c>
      <c r="I9" s="67">
        <f>H9</f>
        <v/>
      </c>
      <c r="J9" s="68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62" t="n">
        <v>6</v>
      </c>
      <c r="B10" s="62" t="inlineStr">
        <is>
          <t>B</t>
        </is>
      </c>
      <c r="C10" s="63" t="inlineStr">
        <is>
          <t>Catar</t>
        </is>
      </c>
      <c r="D10" s="64" t="n"/>
      <c r="E10" s="65" t="inlineStr">
        <is>
          <t>X</t>
        </is>
      </c>
      <c r="F10" s="64" t="n"/>
      <c r="G10" s="63" t="inlineStr">
        <is>
          <t>Suíça</t>
        </is>
      </c>
      <c r="H10" s="66" t="n">
        <v>46186</v>
      </c>
      <c r="I10" s="67">
        <f>H10</f>
        <v/>
      </c>
      <c r="J10" s="68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62" t="n">
        <v>7</v>
      </c>
      <c r="B11" s="62" t="inlineStr">
        <is>
          <t>C</t>
        </is>
      </c>
      <c r="C11" s="69" t="inlineStr">
        <is>
          <t>Brasil</t>
        </is>
      </c>
      <c r="D11" s="64" t="n"/>
      <c r="E11" s="65" t="inlineStr">
        <is>
          <t>X</t>
        </is>
      </c>
      <c r="F11" s="64" t="n"/>
      <c r="G11" s="63" t="inlineStr">
        <is>
          <t>Marrocos</t>
        </is>
      </c>
      <c r="H11" s="66" t="n">
        <v>46186</v>
      </c>
      <c r="I11" s="67">
        <f>H11</f>
        <v/>
      </c>
      <c r="J11" s="68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62" t="n">
        <v>8</v>
      </c>
      <c r="B12" s="62" t="inlineStr">
        <is>
          <t>C</t>
        </is>
      </c>
      <c r="C12" s="63" t="inlineStr">
        <is>
          <t>Haiti</t>
        </is>
      </c>
      <c r="D12" s="64" t="n"/>
      <c r="E12" s="65" t="inlineStr">
        <is>
          <t>X</t>
        </is>
      </c>
      <c r="F12" s="64" t="n"/>
      <c r="G12" s="63" t="inlineStr">
        <is>
          <t>Escócia</t>
        </is>
      </c>
      <c r="H12" s="66" t="n">
        <v>46186</v>
      </c>
      <c r="I12" s="67">
        <f>H12</f>
        <v/>
      </c>
      <c r="J12" s="68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62" t="n">
        <v>9</v>
      </c>
      <c r="B13" s="62" t="inlineStr">
        <is>
          <t>E</t>
        </is>
      </c>
      <c r="C13" s="63" t="inlineStr">
        <is>
          <t>Alemanha</t>
        </is>
      </c>
      <c r="D13" s="64" t="n"/>
      <c r="E13" s="65" t="inlineStr">
        <is>
          <t>X</t>
        </is>
      </c>
      <c r="F13" s="64" t="n"/>
      <c r="G13" s="63" t="inlineStr">
        <is>
          <t>Curaçau</t>
        </is>
      </c>
      <c r="H13" s="66" t="n">
        <v>46187</v>
      </c>
      <c r="I13" s="67">
        <f>H13</f>
        <v/>
      </c>
      <c r="J13" s="68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62" t="n">
        <v>10</v>
      </c>
      <c r="B14" s="62" t="inlineStr">
        <is>
          <t>F</t>
        </is>
      </c>
      <c r="C14" s="63" t="inlineStr">
        <is>
          <t>Holanda</t>
        </is>
      </c>
      <c r="D14" s="64" t="n"/>
      <c r="E14" s="65" t="inlineStr">
        <is>
          <t>X</t>
        </is>
      </c>
      <c r="F14" s="64" t="n"/>
      <c r="G14" s="63" t="inlineStr">
        <is>
          <t>Japão</t>
        </is>
      </c>
      <c r="H14" s="66" t="n">
        <v>46187</v>
      </c>
      <c r="I14" s="67">
        <f>H14</f>
        <v/>
      </c>
      <c r="J14" s="68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62" t="n">
        <v>11</v>
      </c>
      <c r="B15" s="62" t="inlineStr">
        <is>
          <t>E</t>
        </is>
      </c>
      <c r="C15" s="63" t="inlineStr">
        <is>
          <t>Costa do Marfim</t>
        </is>
      </c>
      <c r="D15" s="64" t="n"/>
      <c r="E15" s="65" t="inlineStr">
        <is>
          <t>X</t>
        </is>
      </c>
      <c r="F15" s="64" t="n"/>
      <c r="G15" s="63" t="inlineStr">
        <is>
          <t>Equador</t>
        </is>
      </c>
      <c r="H15" s="66" t="n">
        <v>46187</v>
      </c>
      <c r="I15" s="67">
        <f>H15</f>
        <v/>
      </c>
      <c r="J15" s="68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62" t="n">
        <v>12</v>
      </c>
      <c r="B16" s="62" t="inlineStr">
        <is>
          <t>F</t>
        </is>
      </c>
      <c r="C16" s="63" t="inlineStr">
        <is>
          <t>Suécia</t>
        </is>
      </c>
      <c r="D16" s="64" t="n"/>
      <c r="E16" s="65" t="inlineStr">
        <is>
          <t>X</t>
        </is>
      </c>
      <c r="F16" s="64" t="n"/>
      <c r="G16" s="63" t="inlineStr">
        <is>
          <t>Tunísia</t>
        </is>
      </c>
      <c r="H16" s="66" t="n">
        <v>46187</v>
      </c>
      <c r="I16" s="67">
        <f>H16</f>
        <v/>
      </c>
      <c r="J16" s="68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62" t="n">
        <v>13</v>
      </c>
      <c r="B17" s="62" t="inlineStr">
        <is>
          <t>H</t>
        </is>
      </c>
      <c r="C17" s="63" t="inlineStr">
        <is>
          <t>Espanha</t>
        </is>
      </c>
      <c r="D17" s="70" t="n"/>
      <c r="E17" s="65" t="inlineStr">
        <is>
          <t>X</t>
        </is>
      </c>
      <c r="F17" s="70" t="n"/>
      <c r="G17" s="63" t="inlineStr">
        <is>
          <t>Cabo Verde</t>
        </is>
      </c>
      <c r="H17" s="66" t="n">
        <v>46188</v>
      </c>
      <c r="I17" s="67">
        <f>H17</f>
        <v/>
      </c>
      <c r="J17" s="68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62" t="n">
        <v>14</v>
      </c>
      <c r="B18" s="62" t="inlineStr">
        <is>
          <t>G</t>
        </is>
      </c>
      <c r="C18" s="63" t="inlineStr">
        <is>
          <t>Bélgica</t>
        </is>
      </c>
      <c r="D18" s="64" t="n"/>
      <c r="E18" s="65" t="inlineStr">
        <is>
          <t>X</t>
        </is>
      </c>
      <c r="F18" s="64" t="n"/>
      <c r="G18" s="63" t="inlineStr">
        <is>
          <t>Egito</t>
        </is>
      </c>
      <c r="H18" s="66" t="n">
        <v>46188</v>
      </c>
      <c r="I18" s="67">
        <f>H18</f>
        <v/>
      </c>
      <c r="J18" s="68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62" t="n">
        <v>15</v>
      </c>
      <c r="B19" s="62" t="inlineStr">
        <is>
          <t>H</t>
        </is>
      </c>
      <c r="C19" s="63" t="inlineStr">
        <is>
          <t>Arábia Saudita</t>
        </is>
      </c>
      <c r="D19" s="70" t="n"/>
      <c r="E19" s="65" t="inlineStr">
        <is>
          <t>X</t>
        </is>
      </c>
      <c r="F19" s="70" t="n"/>
      <c r="G19" s="63" t="inlineStr">
        <is>
          <t>Uruguai</t>
        </is>
      </c>
      <c r="H19" s="66" t="n">
        <v>46188</v>
      </c>
      <c r="I19" s="67">
        <f>H19</f>
        <v/>
      </c>
      <c r="J19" s="68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62" t="n">
        <v>16</v>
      </c>
      <c r="B20" s="62" t="inlineStr">
        <is>
          <t>G</t>
        </is>
      </c>
      <c r="C20" s="63" t="inlineStr">
        <is>
          <t>Irã</t>
        </is>
      </c>
      <c r="D20" s="70" t="n"/>
      <c r="E20" s="65" t="inlineStr">
        <is>
          <t>X</t>
        </is>
      </c>
      <c r="F20" s="70" t="n"/>
      <c r="G20" s="63" t="inlineStr">
        <is>
          <t>Nova Zelândia</t>
        </is>
      </c>
      <c r="H20" s="66" t="n">
        <v>46188</v>
      </c>
      <c r="I20" s="67">
        <f>H20</f>
        <v/>
      </c>
      <c r="J20" s="68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62" t="n">
        <v>17</v>
      </c>
      <c r="B21" s="62" t="inlineStr">
        <is>
          <t>I</t>
        </is>
      </c>
      <c r="C21" s="63" t="inlineStr">
        <is>
          <t>França</t>
        </is>
      </c>
      <c r="D21" s="70" t="n">
        <v>2</v>
      </c>
      <c r="E21" s="65" t="inlineStr">
        <is>
          <t>X</t>
        </is>
      </c>
      <c r="F21" s="70" t="n">
        <v>1</v>
      </c>
      <c r="G21" s="63" t="inlineStr">
        <is>
          <t>Senegal</t>
        </is>
      </c>
      <c r="H21" s="66" t="n">
        <v>46189</v>
      </c>
      <c r="I21" s="67">
        <f>H21</f>
        <v/>
      </c>
      <c r="J21" s="68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62" t="n">
        <v>18</v>
      </c>
      <c r="B22" s="62" t="inlineStr">
        <is>
          <t>I</t>
        </is>
      </c>
      <c r="C22" s="63" t="inlineStr">
        <is>
          <t>Iraque</t>
        </is>
      </c>
      <c r="D22" s="70" t="n">
        <v>3</v>
      </c>
      <c r="E22" s="65" t="inlineStr">
        <is>
          <t>X</t>
        </is>
      </c>
      <c r="F22" s="70" t="n">
        <v>2</v>
      </c>
      <c r="G22" s="63" t="inlineStr">
        <is>
          <t>Noruega</t>
        </is>
      </c>
      <c r="H22" s="66" t="n">
        <v>46189</v>
      </c>
      <c r="I22" s="67">
        <f>H22</f>
        <v/>
      </c>
      <c r="J22" s="68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62" t="n">
        <v>19</v>
      </c>
      <c r="B23" s="62" t="inlineStr">
        <is>
          <t>J</t>
        </is>
      </c>
      <c r="C23" s="63" t="inlineStr">
        <is>
          <t>Argentina</t>
        </is>
      </c>
      <c r="D23" s="70" t="n">
        <v>2</v>
      </c>
      <c r="E23" s="65" t="inlineStr">
        <is>
          <t>X</t>
        </is>
      </c>
      <c r="F23" s="70" t="n">
        <v>1</v>
      </c>
      <c r="G23" s="63" t="inlineStr">
        <is>
          <t>Argélia</t>
        </is>
      </c>
      <c r="H23" s="66" t="n">
        <v>46189</v>
      </c>
      <c r="I23" s="67">
        <f>H23</f>
        <v/>
      </c>
      <c r="J23" s="68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62" t="n">
        <v>20</v>
      </c>
      <c r="B24" s="62" t="inlineStr">
        <is>
          <t>J</t>
        </is>
      </c>
      <c r="C24" s="63" t="inlineStr">
        <is>
          <t>Áustria</t>
        </is>
      </c>
      <c r="D24" s="70" t="n">
        <v>0</v>
      </c>
      <c r="E24" s="65" t="inlineStr">
        <is>
          <t>X</t>
        </is>
      </c>
      <c r="F24" s="70" t="n">
        <v>0</v>
      </c>
      <c r="G24" s="63" t="inlineStr">
        <is>
          <t>Jordânia</t>
        </is>
      </c>
      <c r="H24" s="66" t="n">
        <v>46190</v>
      </c>
      <c r="I24" s="67">
        <f>H24</f>
        <v/>
      </c>
      <c r="J24" s="68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62" t="n">
        <v>21</v>
      </c>
      <c r="B25" s="62" t="inlineStr">
        <is>
          <t>K</t>
        </is>
      </c>
      <c r="C25" s="63" t="inlineStr">
        <is>
          <t>Portugal</t>
        </is>
      </c>
      <c r="D25" s="70" t="n">
        <v>2</v>
      </c>
      <c r="E25" s="65" t="inlineStr">
        <is>
          <t>X</t>
        </is>
      </c>
      <c r="F25" s="70" t="n">
        <v>0</v>
      </c>
      <c r="G25" s="63" t="inlineStr">
        <is>
          <t>RD Congo</t>
        </is>
      </c>
      <c r="H25" s="66" t="n">
        <v>46190</v>
      </c>
      <c r="I25" s="67">
        <f>H25</f>
        <v/>
      </c>
      <c r="J25" s="68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62" t="n">
        <v>22</v>
      </c>
      <c r="B26" s="62" t="inlineStr">
        <is>
          <t>L</t>
        </is>
      </c>
      <c r="C26" s="63" t="inlineStr">
        <is>
          <t>Inglaterra</t>
        </is>
      </c>
      <c r="D26" s="70" t="n">
        <v>1</v>
      </c>
      <c r="E26" s="65" t="inlineStr">
        <is>
          <t>X</t>
        </is>
      </c>
      <c r="F26" s="70" t="n">
        <v>2</v>
      </c>
      <c r="G26" s="63" t="inlineStr">
        <is>
          <t>Croácia</t>
        </is>
      </c>
      <c r="H26" s="66" t="n">
        <v>46190</v>
      </c>
      <c r="I26" s="67">
        <f>H26</f>
        <v/>
      </c>
      <c r="J26" s="68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62" t="n">
        <v>23</v>
      </c>
      <c r="B27" s="62" t="inlineStr">
        <is>
          <t>L</t>
        </is>
      </c>
      <c r="C27" s="63" t="inlineStr">
        <is>
          <t>Gana</t>
        </is>
      </c>
      <c r="D27" s="70" t="n">
        <v>3</v>
      </c>
      <c r="E27" s="65" t="inlineStr">
        <is>
          <t>X</t>
        </is>
      </c>
      <c r="F27" s="70" t="n">
        <v>1</v>
      </c>
      <c r="G27" s="63" t="inlineStr">
        <is>
          <t>Panamá</t>
        </is>
      </c>
      <c r="H27" s="66" t="n">
        <v>46190</v>
      </c>
      <c r="I27" s="67">
        <f>H27</f>
        <v/>
      </c>
      <c r="J27" s="68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62" t="n">
        <v>24</v>
      </c>
      <c r="B28" s="62" t="inlineStr">
        <is>
          <t>K</t>
        </is>
      </c>
      <c r="C28" s="63" t="inlineStr">
        <is>
          <t>Uzbequistão</t>
        </is>
      </c>
      <c r="D28" s="70" t="n">
        <v>1</v>
      </c>
      <c r="E28" s="65" t="inlineStr">
        <is>
          <t>X</t>
        </is>
      </c>
      <c r="F28" s="70" t="n">
        <v>2</v>
      </c>
      <c r="G28" s="63" t="inlineStr">
        <is>
          <t>Colômbia</t>
        </is>
      </c>
      <c r="H28" s="66" t="n">
        <v>46190</v>
      </c>
      <c r="I28" s="67">
        <f>H28</f>
        <v/>
      </c>
      <c r="J28" s="68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62" t="n">
        <v>25</v>
      </c>
      <c r="B29" s="62" t="inlineStr">
        <is>
          <t>A</t>
        </is>
      </c>
      <c r="C29" s="63" t="inlineStr">
        <is>
          <t>Tchéquia</t>
        </is>
      </c>
      <c r="D29" s="70" t="n">
        <v>1</v>
      </c>
      <c r="E29" s="65" t="inlineStr">
        <is>
          <t>X</t>
        </is>
      </c>
      <c r="F29" s="70" t="n">
        <v>2</v>
      </c>
      <c r="G29" s="63" t="inlineStr">
        <is>
          <t>África do Sul</t>
        </is>
      </c>
      <c r="H29" s="66" t="n">
        <v>46191</v>
      </c>
      <c r="I29" s="67">
        <f>H29</f>
        <v/>
      </c>
      <c r="J29" s="68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62" t="n">
        <v>26</v>
      </c>
      <c r="B30" s="62" t="inlineStr">
        <is>
          <t>B</t>
        </is>
      </c>
      <c r="C30" s="63" t="inlineStr">
        <is>
          <t>Suíça</t>
        </is>
      </c>
      <c r="D30" s="70" t="n">
        <v>2</v>
      </c>
      <c r="E30" s="65" t="inlineStr">
        <is>
          <t>X</t>
        </is>
      </c>
      <c r="F30" s="70" t="n">
        <v>2</v>
      </c>
      <c r="G30" s="63" t="inlineStr">
        <is>
          <t>Bósnia</t>
        </is>
      </c>
      <c r="H30" s="66" t="n">
        <v>46191</v>
      </c>
      <c r="I30" s="67">
        <f>H30</f>
        <v/>
      </c>
      <c r="J30" s="68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62" t="n">
        <v>27</v>
      </c>
      <c r="B31" s="62" t="inlineStr">
        <is>
          <t>B</t>
        </is>
      </c>
      <c r="C31" s="63" t="inlineStr">
        <is>
          <t>Canadá</t>
        </is>
      </c>
      <c r="D31" s="70" t="n">
        <v>3</v>
      </c>
      <c r="E31" s="65" t="inlineStr">
        <is>
          <t>X</t>
        </is>
      </c>
      <c r="F31" s="70" t="n">
        <v>0</v>
      </c>
      <c r="G31" s="63" t="inlineStr">
        <is>
          <t>Catar</t>
        </is>
      </c>
      <c r="H31" s="66" t="n">
        <v>46191</v>
      </c>
      <c r="I31" s="67">
        <f>H31</f>
        <v/>
      </c>
      <c r="J31" s="68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62" t="n">
        <v>28</v>
      </c>
      <c r="B32" s="62" t="inlineStr">
        <is>
          <t>A</t>
        </is>
      </c>
      <c r="C32" s="63" t="inlineStr">
        <is>
          <t>México</t>
        </is>
      </c>
      <c r="D32" s="70" t="n">
        <v>1</v>
      </c>
      <c r="E32" s="65" t="inlineStr">
        <is>
          <t>X</t>
        </is>
      </c>
      <c r="F32" s="70" t="n">
        <v>0</v>
      </c>
      <c r="G32" s="63" t="inlineStr">
        <is>
          <t>Coreia do Sul</t>
        </is>
      </c>
      <c r="H32" s="66" t="n">
        <v>46191</v>
      </c>
      <c r="I32" s="67">
        <f>H32</f>
        <v/>
      </c>
      <c r="J32" s="68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62" t="n">
        <v>29</v>
      </c>
      <c r="B33" s="62" t="inlineStr">
        <is>
          <t>D</t>
        </is>
      </c>
      <c r="C33" s="63" t="inlineStr">
        <is>
          <t>EUA</t>
        </is>
      </c>
      <c r="D33" s="70" t="n">
        <v>2</v>
      </c>
      <c r="E33" s="65" t="inlineStr">
        <is>
          <t>X</t>
        </is>
      </c>
      <c r="F33" s="70" t="n">
        <v>1</v>
      </c>
      <c r="G33" s="63" t="inlineStr">
        <is>
          <t>Austrália</t>
        </is>
      </c>
      <c r="H33" s="66" t="n">
        <v>46192</v>
      </c>
      <c r="I33" s="67">
        <f>H33</f>
        <v/>
      </c>
      <c r="J33" s="68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62" t="n">
        <v>30</v>
      </c>
      <c r="B34" s="62" t="inlineStr">
        <is>
          <t>C</t>
        </is>
      </c>
      <c r="C34" s="63" t="inlineStr">
        <is>
          <t>Marrocos</t>
        </is>
      </c>
      <c r="D34" s="70" t="n">
        <v>1</v>
      </c>
      <c r="E34" s="65" t="inlineStr">
        <is>
          <t>X</t>
        </is>
      </c>
      <c r="F34" s="70" t="n">
        <v>1</v>
      </c>
      <c r="G34" s="63" t="inlineStr">
        <is>
          <t>Escócia</t>
        </is>
      </c>
      <c r="H34" s="66" t="n">
        <v>46192</v>
      </c>
      <c r="I34" s="67">
        <f>H34</f>
        <v/>
      </c>
      <c r="J34" s="68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62" t="n">
        <v>31</v>
      </c>
      <c r="B35" s="62" t="inlineStr">
        <is>
          <t>C</t>
        </is>
      </c>
      <c r="C35" s="69" t="inlineStr">
        <is>
          <t>Brasil</t>
        </is>
      </c>
      <c r="D35" s="70" t="n">
        <v>2</v>
      </c>
      <c r="E35" s="65" t="inlineStr">
        <is>
          <t>X</t>
        </is>
      </c>
      <c r="F35" s="70" t="n">
        <v>1</v>
      </c>
      <c r="G35" s="63" t="inlineStr">
        <is>
          <t>Haiti</t>
        </is>
      </c>
      <c r="H35" s="66" t="n">
        <v>46192</v>
      </c>
      <c r="I35" s="67">
        <f>H35</f>
        <v/>
      </c>
      <c r="J35" s="68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62" t="n">
        <v>32</v>
      </c>
      <c r="B36" s="62" t="inlineStr">
        <is>
          <t>D</t>
        </is>
      </c>
      <c r="C36" s="63" t="inlineStr">
        <is>
          <t>Turquia</t>
        </is>
      </c>
      <c r="D36" s="70" t="n">
        <v>0</v>
      </c>
      <c r="E36" s="65" t="inlineStr">
        <is>
          <t>X</t>
        </is>
      </c>
      <c r="F36" s="70" t="n">
        <v>0</v>
      </c>
      <c r="G36" s="63" t="inlineStr">
        <is>
          <t>Paraguai</t>
        </is>
      </c>
      <c r="H36" s="66" t="n">
        <v>46193</v>
      </c>
      <c r="I36" s="67">
        <f>H36</f>
        <v/>
      </c>
      <c r="J36" s="68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62" t="n">
        <v>33</v>
      </c>
      <c r="B37" s="62" t="inlineStr">
        <is>
          <t>F</t>
        </is>
      </c>
      <c r="C37" s="63" t="inlineStr">
        <is>
          <t>Holanda</t>
        </is>
      </c>
      <c r="D37" s="70" t="n">
        <v>0</v>
      </c>
      <c r="E37" s="65" t="inlineStr">
        <is>
          <t>X</t>
        </is>
      </c>
      <c r="F37" s="70" t="n">
        <v>1</v>
      </c>
      <c r="G37" s="63" t="inlineStr">
        <is>
          <t>Suécia</t>
        </is>
      </c>
      <c r="H37" s="66" t="n">
        <v>46193</v>
      </c>
      <c r="I37" s="67">
        <f>H37</f>
        <v/>
      </c>
      <c r="J37" s="68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62" t="n">
        <v>34</v>
      </c>
      <c r="B38" s="62" t="inlineStr">
        <is>
          <t>E</t>
        </is>
      </c>
      <c r="C38" s="63" t="inlineStr">
        <is>
          <t>Alemanha</t>
        </is>
      </c>
      <c r="D38" s="70" t="n">
        <v>3</v>
      </c>
      <c r="E38" s="65" t="inlineStr">
        <is>
          <t>X</t>
        </is>
      </c>
      <c r="F38" s="70" t="n">
        <v>4</v>
      </c>
      <c r="G38" s="63" t="inlineStr">
        <is>
          <t>Costa do Marfim</t>
        </is>
      </c>
      <c r="H38" s="66" t="n">
        <v>46193</v>
      </c>
      <c r="I38" s="67">
        <f>H38</f>
        <v/>
      </c>
      <c r="J38" s="68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62" t="n">
        <v>35</v>
      </c>
      <c r="B39" s="62" t="inlineStr">
        <is>
          <t>E</t>
        </is>
      </c>
      <c r="C39" s="63" t="inlineStr">
        <is>
          <t>Equador</t>
        </is>
      </c>
      <c r="D39" s="70" t="n">
        <v>1</v>
      </c>
      <c r="E39" s="65" t="inlineStr">
        <is>
          <t>X</t>
        </is>
      </c>
      <c r="F39" s="70" t="n">
        <v>1</v>
      </c>
      <c r="G39" s="63" t="inlineStr">
        <is>
          <t>Curaçau</t>
        </is>
      </c>
      <c r="H39" s="66" t="n">
        <v>46193</v>
      </c>
      <c r="I39" s="67">
        <f>H39</f>
        <v/>
      </c>
      <c r="J39" s="68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62" t="n">
        <v>36</v>
      </c>
      <c r="B40" s="62" t="inlineStr">
        <is>
          <t>F</t>
        </is>
      </c>
      <c r="C40" s="63" t="inlineStr">
        <is>
          <t>Tunísia</t>
        </is>
      </c>
      <c r="D40" s="70" t="n">
        <v>2</v>
      </c>
      <c r="E40" s="65" t="inlineStr">
        <is>
          <t>X</t>
        </is>
      </c>
      <c r="F40" s="70" t="n">
        <v>1</v>
      </c>
      <c r="G40" s="63" t="inlineStr">
        <is>
          <t>Japão</t>
        </is>
      </c>
      <c r="H40" s="66" t="n">
        <v>46194</v>
      </c>
      <c r="I40" s="67">
        <f>H40</f>
        <v/>
      </c>
      <c r="J40" s="68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62" t="n">
        <v>37</v>
      </c>
      <c r="B41" s="62" t="inlineStr">
        <is>
          <t>H</t>
        </is>
      </c>
      <c r="C41" s="63" t="inlineStr">
        <is>
          <t>Espanha</t>
        </is>
      </c>
      <c r="D41" s="70" t="n">
        <v>3</v>
      </c>
      <c r="E41" s="65" t="inlineStr">
        <is>
          <t>X</t>
        </is>
      </c>
      <c r="F41" s="70" t="n">
        <v>2</v>
      </c>
      <c r="G41" s="63" t="inlineStr">
        <is>
          <t>Arábia Saudita</t>
        </is>
      </c>
      <c r="H41" s="66" t="n">
        <v>46194</v>
      </c>
      <c r="I41" s="67">
        <f>H41</f>
        <v/>
      </c>
      <c r="J41" s="68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62" t="n">
        <v>38</v>
      </c>
      <c r="B42" s="62" t="inlineStr">
        <is>
          <t>G</t>
        </is>
      </c>
      <c r="C42" s="63" t="inlineStr">
        <is>
          <t>Bélgica</t>
        </is>
      </c>
      <c r="D42" s="70" t="n">
        <v>1</v>
      </c>
      <c r="E42" s="65" t="inlineStr">
        <is>
          <t>X</t>
        </is>
      </c>
      <c r="F42" s="70" t="n">
        <v>2</v>
      </c>
      <c r="G42" s="63" t="inlineStr">
        <is>
          <t>Irã</t>
        </is>
      </c>
      <c r="H42" s="66" t="n">
        <v>46194</v>
      </c>
      <c r="I42" s="67">
        <f>H42</f>
        <v/>
      </c>
      <c r="J42" s="68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62" t="n">
        <v>39</v>
      </c>
      <c r="B43" s="62" t="inlineStr">
        <is>
          <t>H</t>
        </is>
      </c>
      <c r="C43" s="63" t="inlineStr">
        <is>
          <t>Uruguai</t>
        </is>
      </c>
      <c r="D43" s="70" t="n">
        <v>4</v>
      </c>
      <c r="E43" s="65" t="inlineStr">
        <is>
          <t>X</t>
        </is>
      </c>
      <c r="F43" s="70" t="n">
        <v>0</v>
      </c>
      <c r="G43" s="63" t="inlineStr">
        <is>
          <t>Cabo Verde</t>
        </is>
      </c>
      <c r="H43" s="66" t="n">
        <v>46194</v>
      </c>
      <c r="I43" s="67">
        <f>H43</f>
        <v/>
      </c>
      <c r="J43" s="68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62" t="n">
        <v>40</v>
      </c>
      <c r="B44" s="62" t="inlineStr">
        <is>
          <t>G</t>
        </is>
      </c>
      <c r="C44" s="63" t="inlineStr">
        <is>
          <t>Nova Zelândia</t>
        </is>
      </c>
      <c r="D44" s="70" t="n">
        <v>2</v>
      </c>
      <c r="E44" s="65" t="inlineStr">
        <is>
          <t>X</t>
        </is>
      </c>
      <c r="F44" s="70" t="n">
        <v>1</v>
      </c>
      <c r="G44" s="63" t="inlineStr">
        <is>
          <t>Egito</t>
        </is>
      </c>
      <c r="H44" s="66" t="n">
        <v>46194</v>
      </c>
      <c r="I44" s="67">
        <f>H44</f>
        <v/>
      </c>
      <c r="J44" s="68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62" t="n">
        <v>41</v>
      </c>
      <c r="B45" s="62" t="inlineStr">
        <is>
          <t>I</t>
        </is>
      </c>
      <c r="C45" s="63" t="inlineStr">
        <is>
          <t>França</t>
        </is>
      </c>
      <c r="D45" s="70" t="n">
        <v>3</v>
      </c>
      <c r="E45" s="65" t="inlineStr">
        <is>
          <t>X</t>
        </is>
      </c>
      <c r="F45" s="70" t="n">
        <v>1</v>
      </c>
      <c r="G45" s="63" t="inlineStr">
        <is>
          <t>Iraque</t>
        </is>
      </c>
      <c r="H45" s="66" t="n">
        <v>46195</v>
      </c>
      <c r="I45" s="67">
        <f>H45</f>
        <v/>
      </c>
      <c r="J45" s="68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62" t="n">
        <v>42</v>
      </c>
      <c r="B46" s="62" t="inlineStr">
        <is>
          <t>I</t>
        </is>
      </c>
      <c r="C46" s="63" t="inlineStr">
        <is>
          <t>Noruega</t>
        </is>
      </c>
      <c r="D46" s="70" t="n">
        <v>6</v>
      </c>
      <c r="E46" s="65" t="inlineStr">
        <is>
          <t>X</t>
        </is>
      </c>
      <c r="F46" s="70" t="n">
        <v>5</v>
      </c>
      <c r="G46" s="63" t="inlineStr">
        <is>
          <t>Senegal</t>
        </is>
      </c>
      <c r="H46" s="66" t="n">
        <v>46195</v>
      </c>
      <c r="I46" s="67">
        <f>H46</f>
        <v/>
      </c>
      <c r="J46" s="68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62" t="n">
        <v>43</v>
      </c>
      <c r="B47" s="62" t="inlineStr">
        <is>
          <t>J</t>
        </is>
      </c>
      <c r="C47" s="63" t="inlineStr">
        <is>
          <t>Argentina</t>
        </is>
      </c>
      <c r="D47" s="70" t="n">
        <v>1</v>
      </c>
      <c r="E47" s="65" t="inlineStr">
        <is>
          <t>X</t>
        </is>
      </c>
      <c r="F47" s="70" t="n">
        <v>0</v>
      </c>
      <c r="G47" s="63" t="inlineStr">
        <is>
          <t>Áustria</t>
        </is>
      </c>
      <c r="H47" s="66" t="n">
        <v>46195</v>
      </c>
      <c r="I47" s="67">
        <f>H47</f>
        <v/>
      </c>
      <c r="J47" s="68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62" t="n">
        <v>44</v>
      </c>
      <c r="B48" s="62" t="inlineStr">
        <is>
          <t>J</t>
        </is>
      </c>
      <c r="C48" s="63" t="inlineStr">
        <is>
          <t>Jordânia</t>
        </is>
      </c>
      <c r="D48" s="70" t="n">
        <v>3</v>
      </c>
      <c r="E48" s="65" t="inlineStr">
        <is>
          <t>X</t>
        </is>
      </c>
      <c r="F48" s="70" t="n">
        <v>2</v>
      </c>
      <c r="G48" s="63" t="inlineStr">
        <is>
          <t>Argélia</t>
        </is>
      </c>
      <c r="H48" s="66" t="n">
        <v>46196</v>
      </c>
      <c r="I48" s="67">
        <f>H48</f>
        <v/>
      </c>
      <c r="J48" s="68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62" t="n">
        <v>45</v>
      </c>
      <c r="B49" s="62" t="inlineStr">
        <is>
          <t>K</t>
        </is>
      </c>
      <c r="C49" s="63" t="inlineStr">
        <is>
          <t>Portugal</t>
        </is>
      </c>
      <c r="D49" s="70" t="n">
        <v>1</v>
      </c>
      <c r="E49" s="65" t="inlineStr">
        <is>
          <t>X</t>
        </is>
      </c>
      <c r="F49" s="70" t="n">
        <v>0</v>
      </c>
      <c r="G49" s="63" t="inlineStr">
        <is>
          <t>Uzbequistão</t>
        </is>
      </c>
      <c r="H49" s="66" t="n">
        <v>46196</v>
      </c>
      <c r="I49" s="67">
        <f>H49</f>
        <v/>
      </c>
      <c r="J49" s="68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62" t="n">
        <v>46</v>
      </c>
      <c r="B50" s="62" t="inlineStr">
        <is>
          <t>L</t>
        </is>
      </c>
      <c r="C50" s="63" t="inlineStr">
        <is>
          <t>Inglaterra</t>
        </is>
      </c>
      <c r="D50" s="70" t="n">
        <v>2</v>
      </c>
      <c r="E50" s="65" t="inlineStr">
        <is>
          <t>X</t>
        </is>
      </c>
      <c r="F50" s="70" t="n">
        <v>3</v>
      </c>
      <c r="G50" s="63" t="inlineStr">
        <is>
          <t>Gana</t>
        </is>
      </c>
      <c r="H50" s="66" t="n">
        <v>46196</v>
      </c>
      <c r="I50" s="67">
        <f>H50</f>
        <v/>
      </c>
      <c r="J50" s="68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62" t="n">
        <v>47</v>
      </c>
      <c r="B51" s="62" t="inlineStr">
        <is>
          <t>L</t>
        </is>
      </c>
      <c r="C51" s="63" t="inlineStr">
        <is>
          <t>Panamá</t>
        </is>
      </c>
      <c r="D51" s="70" t="n">
        <v>0</v>
      </c>
      <c r="E51" s="65" t="inlineStr">
        <is>
          <t>X</t>
        </is>
      </c>
      <c r="F51" s="70" t="n">
        <v>2</v>
      </c>
      <c r="G51" s="63" t="inlineStr">
        <is>
          <t>Croácia</t>
        </is>
      </c>
      <c r="H51" s="66" t="n">
        <v>46196</v>
      </c>
      <c r="I51" s="67">
        <f>H51</f>
        <v/>
      </c>
      <c r="J51" s="68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62" t="n">
        <v>48</v>
      </c>
      <c r="B52" s="62" t="inlineStr">
        <is>
          <t>K</t>
        </is>
      </c>
      <c r="C52" s="63" t="inlineStr">
        <is>
          <t>Colômbia</t>
        </is>
      </c>
      <c r="D52" s="70" t="n">
        <v>0</v>
      </c>
      <c r="E52" s="65" t="inlineStr">
        <is>
          <t>X</t>
        </is>
      </c>
      <c r="F52" s="70" t="n">
        <v>0</v>
      </c>
      <c r="G52" s="63" t="inlineStr">
        <is>
          <t>RD Congo</t>
        </is>
      </c>
      <c r="H52" s="66" t="n">
        <v>46196</v>
      </c>
      <c r="I52" s="67">
        <f>H52</f>
        <v/>
      </c>
      <c r="J52" s="68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62" t="n">
        <v>49</v>
      </c>
      <c r="B53" s="62" t="inlineStr">
        <is>
          <t>B</t>
        </is>
      </c>
      <c r="C53" s="63" t="inlineStr">
        <is>
          <t>Suíça</t>
        </is>
      </c>
      <c r="D53" s="70" t="n">
        <v>0</v>
      </c>
      <c r="E53" s="65" t="inlineStr">
        <is>
          <t>X</t>
        </is>
      </c>
      <c r="F53" s="70" t="n">
        <v>0</v>
      </c>
      <c r="G53" s="63" t="inlineStr">
        <is>
          <t>Canadá</t>
        </is>
      </c>
      <c r="H53" s="66" t="n">
        <v>46197</v>
      </c>
      <c r="I53" s="67">
        <f>H53</f>
        <v/>
      </c>
      <c r="J53" s="68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62" t="n">
        <v>50</v>
      </c>
      <c r="B54" s="62" t="inlineStr">
        <is>
          <t>B</t>
        </is>
      </c>
      <c r="C54" s="63" t="inlineStr">
        <is>
          <t>Bósnia</t>
        </is>
      </c>
      <c r="D54" s="70" t="n">
        <v>4</v>
      </c>
      <c r="E54" s="65" t="inlineStr">
        <is>
          <t>X</t>
        </is>
      </c>
      <c r="F54" s="70" t="n">
        <v>2</v>
      </c>
      <c r="G54" s="63" t="inlineStr">
        <is>
          <t>Catar</t>
        </is>
      </c>
      <c r="H54" s="66" t="n">
        <v>46197</v>
      </c>
      <c r="I54" s="67">
        <f>H54</f>
        <v/>
      </c>
      <c r="J54" s="68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62" t="n">
        <v>51</v>
      </c>
      <c r="B55" s="62" t="inlineStr">
        <is>
          <t>C</t>
        </is>
      </c>
      <c r="C55" s="63" t="inlineStr">
        <is>
          <t>Escócia</t>
        </is>
      </c>
      <c r="D55" s="70" t="n">
        <v>1</v>
      </c>
      <c r="E55" s="65" t="inlineStr">
        <is>
          <t>X</t>
        </is>
      </c>
      <c r="F55" s="70" t="n">
        <v>2</v>
      </c>
      <c r="G55" s="69" t="inlineStr">
        <is>
          <t>Brasil</t>
        </is>
      </c>
      <c r="H55" s="66" t="n">
        <v>46197</v>
      </c>
      <c r="I55" s="67">
        <f>H55</f>
        <v/>
      </c>
      <c r="J55" s="68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62" t="n">
        <v>52</v>
      </c>
      <c r="B56" s="62" t="inlineStr">
        <is>
          <t>C</t>
        </is>
      </c>
      <c r="C56" s="63" t="inlineStr">
        <is>
          <t>Marrocos</t>
        </is>
      </c>
      <c r="D56" s="70" t="n">
        <v>2</v>
      </c>
      <c r="E56" s="65" t="inlineStr">
        <is>
          <t>X</t>
        </is>
      </c>
      <c r="F56" s="70" t="n">
        <v>1</v>
      </c>
      <c r="G56" s="63" t="inlineStr">
        <is>
          <t>Haiti</t>
        </is>
      </c>
      <c r="H56" s="66" t="n">
        <v>46197</v>
      </c>
      <c r="I56" s="67">
        <f>H56</f>
        <v/>
      </c>
      <c r="J56" s="68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62" t="n">
        <v>53</v>
      </c>
      <c r="B57" s="62" t="inlineStr">
        <is>
          <t>A</t>
        </is>
      </c>
      <c r="C57" s="63" t="inlineStr">
        <is>
          <t>Tchéquia</t>
        </is>
      </c>
      <c r="D57" s="70" t="n">
        <v>1</v>
      </c>
      <c r="E57" s="65" t="inlineStr">
        <is>
          <t>X</t>
        </is>
      </c>
      <c r="F57" s="70" t="n">
        <v>2</v>
      </c>
      <c r="G57" s="63" t="inlineStr">
        <is>
          <t>México</t>
        </is>
      </c>
      <c r="H57" s="66" t="n">
        <v>46197</v>
      </c>
      <c r="I57" s="67">
        <f>H57</f>
        <v/>
      </c>
      <c r="J57" s="68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62" t="n">
        <v>54</v>
      </c>
      <c r="B58" s="62" t="inlineStr">
        <is>
          <t>A</t>
        </is>
      </c>
      <c r="C58" s="63" t="inlineStr">
        <is>
          <t>África do Sul</t>
        </is>
      </c>
      <c r="D58" s="70" t="n">
        <v>1</v>
      </c>
      <c r="E58" s="65" t="inlineStr">
        <is>
          <t>X</t>
        </is>
      </c>
      <c r="F58" s="70" t="n">
        <v>2</v>
      </c>
      <c r="G58" s="63" t="inlineStr">
        <is>
          <t>Coreia do Sul</t>
        </is>
      </c>
      <c r="H58" s="66" t="n">
        <v>46197</v>
      </c>
      <c r="I58" s="67">
        <f>H58</f>
        <v/>
      </c>
      <c r="J58" s="68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62" t="n">
        <v>55</v>
      </c>
      <c r="B59" s="62" t="inlineStr">
        <is>
          <t>E</t>
        </is>
      </c>
      <c r="C59" s="63" t="inlineStr">
        <is>
          <t>Equador</t>
        </is>
      </c>
      <c r="D59" s="70" t="n">
        <v>0</v>
      </c>
      <c r="E59" s="65" t="inlineStr">
        <is>
          <t>X</t>
        </is>
      </c>
      <c r="F59" s="70" t="n">
        <v>1</v>
      </c>
      <c r="G59" s="63" t="inlineStr">
        <is>
          <t>Alemanha</t>
        </is>
      </c>
      <c r="H59" s="66" t="n">
        <v>46198</v>
      </c>
      <c r="I59" s="67">
        <f>H59</f>
        <v/>
      </c>
      <c r="J59" s="68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62" t="n">
        <v>56</v>
      </c>
      <c r="B60" s="62" t="inlineStr">
        <is>
          <t>E</t>
        </is>
      </c>
      <c r="C60" s="63" t="inlineStr">
        <is>
          <t>Curaçau</t>
        </is>
      </c>
      <c r="D60" s="70" t="n">
        <v>5</v>
      </c>
      <c r="E60" s="65" t="inlineStr">
        <is>
          <t>X</t>
        </is>
      </c>
      <c r="F60" s="70" t="n">
        <v>4</v>
      </c>
      <c r="G60" s="63" t="inlineStr">
        <is>
          <t>Costa do Marfim</t>
        </is>
      </c>
      <c r="H60" s="66" t="n">
        <v>46198</v>
      </c>
      <c r="I60" s="67">
        <f>H60</f>
        <v/>
      </c>
      <c r="J60" s="68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62" t="n">
        <v>57</v>
      </c>
      <c r="B61" s="62" t="inlineStr">
        <is>
          <t>D</t>
        </is>
      </c>
      <c r="C61" s="63" t="inlineStr">
        <is>
          <t>Turquia</t>
        </is>
      </c>
      <c r="D61" s="70" t="n">
        <v>0</v>
      </c>
      <c r="E61" s="65" t="inlineStr">
        <is>
          <t>X</t>
        </is>
      </c>
      <c r="F61" s="70" t="n">
        <v>1</v>
      </c>
      <c r="G61" s="63" t="inlineStr">
        <is>
          <t>EUA</t>
        </is>
      </c>
      <c r="H61" s="66" t="n">
        <v>46198</v>
      </c>
      <c r="I61" s="67">
        <f>H61</f>
        <v/>
      </c>
      <c r="J61" s="68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62" t="n">
        <v>58</v>
      </c>
      <c r="B62" s="62" t="inlineStr">
        <is>
          <t>D</t>
        </is>
      </c>
      <c r="C62" s="63" t="inlineStr">
        <is>
          <t>Paraguai</t>
        </is>
      </c>
      <c r="D62" s="70" t="n">
        <v>3</v>
      </c>
      <c r="E62" s="65" t="inlineStr">
        <is>
          <t>X</t>
        </is>
      </c>
      <c r="F62" s="70" t="n">
        <v>4</v>
      </c>
      <c r="G62" s="63" t="inlineStr">
        <is>
          <t>Austrália</t>
        </is>
      </c>
      <c r="H62" s="66" t="n">
        <v>46198</v>
      </c>
      <c r="I62" s="67">
        <f>H62</f>
        <v/>
      </c>
      <c r="J62" s="68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62" t="n">
        <v>59</v>
      </c>
      <c r="B63" s="62" t="inlineStr">
        <is>
          <t>F</t>
        </is>
      </c>
      <c r="C63" s="63" t="inlineStr">
        <is>
          <t>Tunísia</t>
        </is>
      </c>
      <c r="D63" s="70" t="n">
        <v>0</v>
      </c>
      <c r="E63" s="65" t="inlineStr">
        <is>
          <t>X</t>
        </is>
      </c>
      <c r="F63" s="70" t="n">
        <v>3</v>
      </c>
      <c r="G63" s="63" t="inlineStr">
        <is>
          <t>Holanda</t>
        </is>
      </c>
      <c r="H63" s="66" t="n">
        <v>46198</v>
      </c>
      <c r="I63" s="67">
        <f>H63</f>
        <v/>
      </c>
      <c r="J63" s="68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62" t="n">
        <v>60</v>
      </c>
      <c r="B64" s="62" t="inlineStr">
        <is>
          <t>F</t>
        </is>
      </c>
      <c r="C64" s="63" t="inlineStr">
        <is>
          <t>Japão</t>
        </is>
      </c>
      <c r="D64" s="70" t="n">
        <v>0</v>
      </c>
      <c r="E64" s="65" t="inlineStr">
        <is>
          <t>X</t>
        </is>
      </c>
      <c r="F64" s="70" t="n">
        <v>1</v>
      </c>
      <c r="G64" s="63" t="inlineStr">
        <is>
          <t>Suécia</t>
        </is>
      </c>
      <c r="H64" s="66" t="n">
        <v>46198</v>
      </c>
      <c r="I64" s="67">
        <f>H64</f>
        <v/>
      </c>
      <c r="J64" s="68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62" t="n">
        <v>61</v>
      </c>
      <c r="B65" s="62" t="inlineStr">
        <is>
          <t>I</t>
        </is>
      </c>
      <c r="C65" s="63" t="inlineStr">
        <is>
          <t>Noruega</t>
        </is>
      </c>
      <c r="D65" s="70" t="n">
        <v>0</v>
      </c>
      <c r="E65" s="65" t="inlineStr">
        <is>
          <t>X</t>
        </is>
      </c>
      <c r="F65" s="70" t="n">
        <v>4</v>
      </c>
      <c r="G65" s="63" t="inlineStr">
        <is>
          <t>França</t>
        </is>
      </c>
      <c r="H65" s="66" t="n">
        <v>46199</v>
      </c>
      <c r="I65" s="67">
        <f>H65</f>
        <v/>
      </c>
      <c r="J65" s="68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62" t="n">
        <v>62</v>
      </c>
      <c r="B66" s="62" t="inlineStr">
        <is>
          <t>I</t>
        </is>
      </c>
      <c r="C66" s="63" t="inlineStr">
        <is>
          <t>Senegal</t>
        </is>
      </c>
      <c r="D66" s="70" t="n">
        <v>2</v>
      </c>
      <c r="E66" s="65" t="inlineStr">
        <is>
          <t>X</t>
        </is>
      </c>
      <c r="F66" s="70" t="n">
        <v>1</v>
      </c>
      <c r="G66" s="63" t="inlineStr">
        <is>
          <t>Iraque</t>
        </is>
      </c>
      <c r="H66" s="66" t="n">
        <v>46199</v>
      </c>
      <c r="I66" s="67">
        <f>H66</f>
        <v/>
      </c>
      <c r="J66" s="68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62" t="n">
        <v>63</v>
      </c>
      <c r="B67" s="62" t="inlineStr">
        <is>
          <t>H</t>
        </is>
      </c>
      <c r="C67" s="63" t="inlineStr">
        <is>
          <t>Uruguai</t>
        </is>
      </c>
      <c r="D67" s="70" t="n">
        <v>0</v>
      </c>
      <c r="E67" s="65" t="inlineStr">
        <is>
          <t>X</t>
        </is>
      </c>
      <c r="F67" s="70" t="n">
        <v>1</v>
      </c>
      <c r="G67" s="63" t="inlineStr">
        <is>
          <t>Espanha</t>
        </is>
      </c>
      <c r="H67" s="66" t="n">
        <v>46199</v>
      </c>
      <c r="I67" s="67">
        <f>H67</f>
        <v/>
      </c>
      <c r="J67" s="68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62" t="n">
        <v>64</v>
      </c>
      <c r="B68" s="62" t="inlineStr">
        <is>
          <t>H</t>
        </is>
      </c>
      <c r="C68" s="63" t="inlineStr">
        <is>
          <t>Cabo Verde</t>
        </is>
      </c>
      <c r="D68" s="70" t="n">
        <v>1</v>
      </c>
      <c r="E68" s="65" t="inlineStr">
        <is>
          <t>X</t>
        </is>
      </c>
      <c r="F68" s="70" t="n">
        <v>2</v>
      </c>
      <c r="G68" s="63" t="inlineStr">
        <is>
          <t>Arábia Saudita</t>
        </is>
      </c>
      <c r="H68" s="66" t="n">
        <v>46199</v>
      </c>
      <c r="I68" s="67">
        <f>H68</f>
        <v/>
      </c>
      <c r="J68" s="68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62" t="n">
        <v>65</v>
      </c>
      <c r="B69" s="62" t="inlineStr">
        <is>
          <t>G</t>
        </is>
      </c>
      <c r="C69" s="63" t="inlineStr">
        <is>
          <t>Egito</t>
        </is>
      </c>
      <c r="D69" s="70" t="n">
        <v>0</v>
      </c>
      <c r="E69" s="65" t="inlineStr">
        <is>
          <t>X</t>
        </is>
      </c>
      <c r="F69" s="70" t="n">
        <v>0</v>
      </c>
      <c r="G69" s="63" t="inlineStr">
        <is>
          <t>Irã</t>
        </is>
      </c>
      <c r="H69" s="66" t="n">
        <v>46199</v>
      </c>
      <c r="I69" s="67">
        <f>H69</f>
        <v/>
      </c>
      <c r="J69" s="68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62" t="n">
        <v>66</v>
      </c>
      <c r="B70" s="62" t="inlineStr">
        <is>
          <t>G</t>
        </is>
      </c>
      <c r="C70" s="63" t="inlineStr">
        <is>
          <t>Nova Zelândia</t>
        </is>
      </c>
      <c r="D70" s="70" t="n">
        <v>0</v>
      </c>
      <c r="E70" s="65" t="inlineStr">
        <is>
          <t>X</t>
        </is>
      </c>
      <c r="F70" s="70" t="n">
        <v>0</v>
      </c>
      <c r="G70" s="63" t="inlineStr">
        <is>
          <t>Bélgica</t>
        </is>
      </c>
      <c r="H70" s="66" t="n">
        <v>46199</v>
      </c>
      <c r="I70" s="67">
        <f>H70</f>
        <v/>
      </c>
      <c r="J70" s="68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62" t="n">
        <v>67</v>
      </c>
      <c r="B71" s="62" t="inlineStr">
        <is>
          <t>J</t>
        </is>
      </c>
      <c r="C71" s="63" t="inlineStr">
        <is>
          <t>Argélia</t>
        </is>
      </c>
      <c r="D71" s="70" t="n">
        <v>2</v>
      </c>
      <c r="E71" s="65" t="inlineStr">
        <is>
          <t>X</t>
        </is>
      </c>
      <c r="F71" s="70" t="n">
        <v>1</v>
      </c>
      <c r="G71" s="63" t="inlineStr">
        <is>
          <t>Áustria</t>
        </is>
      </c>
      <c r="H71" s="66" t="n">
        <v>46200</v>
      </c>
      <c r="I71" s="67">
        <f>H71</f>
        <v/>
      </c>
      <c r="J71" s="68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62" t="n">
        <v>68</v>
      </c>
      <c r="B72" s="62" t="inlineStr">
        <is>
          <t>J</t>
        </is>
      </c>
      <c r="C72" s="63" t="inlineStr">
        <is>
          <t>Jordânia</t>
        </is>
      </c>
      <c r="D72" s="70" t="n">
        <v>1</v>
      </c>
      <c r="E72" s="65" t="inlineStr">
        <is>
          <t>X</t>
        </is>
      </c>
      <c r="F72" s="70" t="n">
        <v>1</v>
      </c>
      <c r="G72" s="63" t="inlineStr">
        <is>
          <t>Argentina</t>
        </is>
      </c>
      <c r="H72" s="66" t="n">
        <v>46200</v>
      </c>
      <c r="I72" s="67">
        <f>H72</f>
        <v/>
      </c>
      <c r="J72" s="68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62" t="n">
        <v>69</v>
      </c>
      <c r="B73" s="62" t="inlineStr">
        <is>
          <t>L</t>
        </is>
      </c>
      <c r="C73" s="63" t="inlineStr">
        <is>
          <t>Panamá</t>
        </is>
      </c>
      <c r="D73" s="70" t="n">
        <v>2</v>
      </c>
      <c r="E73" s="65" t="inlineStr">
        <is>
          <t>X</t>
        </is>
      </c>
      <c r="F73" s="70" t="n">
        <v>3</v>
      </c>
      <c r="G73" s="63" t="inlineStr">
        <is>
          <t>Inglaterra</t>
        </is>
      </c>
      <c r="H73" s="66" t="n">
        <v>46200</v>
      </c>
      <c r="I73" s="67">
        <f>H73</f>
        <v/>
      </c>
      <c r="J73" s="68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62" t="n">
        <v>70</v>
      </c>
      <c r="B74" s="62" t="inlineStr">
        <is>
          <t>L</t>
        </is>
      </c>
      <c r="C74" s="63" t="inlineStr">
        <is>
          <t>Croácia</t>
        </is>
      </c>
      <c r="D74" s="70" t="n">
        <v>2</v>
      </c>
      <c r="E74" s="65" t="inlineStr">
        <is>
          <t>X</t>
        </is>
      </c>
      <c r="F74" s="70" t="n">
        <v>2</v>
      </c>
      <c r="G74" s="63" t="inlineStr">
        <is>
          <t>Gana</t>
        </is>
      </c>
      <c r="H74" s="66" t="n">
        <v>46200</v>
      </c>
      <c r="I74" s="67">
        <f>H74</f>
        <v/>
      </c>
      <c r="J74" s="68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62" t="n">
        <v>71</v>
      </c>
      <c r="B75" s="62" t="inlineStr">
        <is>
          <t>K</t>
        </is>
      </c>
      <c r="C75" s="63" t="inlineStr">
        <is>
          <t>RD Congo</t>
        </is>
      </c>
      <c r="D75" s="70" t="n">
        <v>1</v>
      </c>
      <c r="E75" s="65" t="inlineStr">
        <is>
          <t>X</t>
        </is>
      </c>
      <c r="F75" s="70" t="n">
        <v>1</v>
      </c>
      <c r="G75" s="63" t="inlineStr">
        <is>
          <t>Uzbequistão</t>
        </is>
      </c>
      <c r="H75" s="66" t="n">
        <v>46200</v>
      </c>
      <c r="I75" s="67">
        <f>H75</f>
        <v/>
      </c>
      <c r="J75" s="68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62" t="n">
        <v>72</v>
      </c>
      <c r="B76" s="62" t="inlineStr">
        <is>
          <t>K</t>
        </is>
      </c>
      <c r="C76" s="63" t="inlineStr">
        <is>
          <t>Colômbia</t>
        </is>
      </c>
      <c r="D76" s="70" t="n">
        <v>0</v>
      </c>
      <c r="E76" s="65" t="inlineStr">
        <is>
          <t>X</t>
        </is>
      </c>
      <c r="F76" s="70" t="n">
        <v>1</v>
      </c>
      <c r="G76" s="63" t="inlineStr">
        <is>
          <t>Portugal</t>
        </is>
      </c>
      <c r="H76" s="66" t="n">
        <v>46200</v>
      </c>
      <c r="I76" s="67">
        <f>H76</f>
        <v/>
      </c>
      <c r="J76" s="68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E77" t="inlineStr">
        <is>
          <t>X</t>
        </is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E78" t="inlineStr">
        <is>
          <t>X</t>
        </is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0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E79" t="inlineStr">
        <is>
          <t>X</t>
        </is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0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E80" t="inlineStr">
        <is>
          <t>X</t>
        </is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E81" t="inlineStr">
        <is>
          <t>X</t>
        </is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E82" t="inlineStr">
        <is>
          <t>X</t>
        </is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E83" t="inlineStr">
        <is>
          <t>X</t>
        </is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E84" t="inlineStr">
        <is>
          <t>X</t>
        </is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E85" t="inlineStr">
        <is>
          <t>X</t>
        </is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E86" t="inlineStr">
        <is>
          <t>X</t>
        </is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E87" t="inlineStr">
        <is>
          <t>X</t>
        </is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E88" t="inlineStr">
        <is>
          <t>X</t>
        </is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E89" t="inlineStr">
        <is>
          <t>X</t>
        </is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E90" t="inlineStr">
        <is>
          <t>X</t>
        </is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E91" t="inlineStr">
        <is>
          <t>X</t>
        </is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E92" t="inlineStr">
        <is>
          <t>X</t>
        </is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0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E93" t="inlineStr">
        <is>
          <t>X</t>
        </is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E94" t="inlineStr">
        <is>
          <t>X</t>
        </is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E95" t="inlineStr">
        <is>
          <t>X</t>
        </is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E96" t="inlineStr">
        <is>
          <t>X</t>
        </is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E97" t="inlineStr">
        <is>
          <t>X</t>
        </is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E98" t="inlineStr">
        <is>
          <t>X</t>
        </is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E99" t="inlineStr">
        <is>
          <t>X</t>
        </is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E100" t="inlineStr">
        <is>
          <t>X</t>
        </is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0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E101" t="inlineStr">
        <is>
          <t>X</t>
        </is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E102" t="inlineStr">
        <is>
          <t>X</t>
        </is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E103" t="inlineStr">
        <is>
          <t>X</t>
        </is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E104" t="inlineStr">
        <is>
          <t>X</t>
        </is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E105" t="inlineStr">
        <is>
          <t>X</t>
        </is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E106" t="inlineStr">
        <is>
          <t>X</t>
        </is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E107" t="inlineStr">
        <is>
          <t>X</t>
        </is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E108" t="inlineStr">
        <is>
          <t>X</t>
        </is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6">
    <mergeCell ref="F1:I1"/>
    <mergeCell ref="G3:J3"/>
    <mergeCell ref="B3:C3"/>
    <mergeCell ref="A1:E1"/>
    <mergeCell ref="D3:F3"/>
    <mergeCell ref="B2:J2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22" zoomScaleNormal="100" workbookViewId="0">
      <selection activeCell="D50" sqref="D50"/>
    </sheetView>
  </sheetViews>
  <sheetFormatPr baseColWidth="8" defaultColWidth="8.710937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8.5703125" customWidth="1" min="8" max="9"/>
    <col width="11.140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  <c r="K1" t="inlineStr">
        <is>
          <t>pago</t>
        </is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>
        <v>3</v>
      </c>
      <c r="E5" s="14" t="inlineStr">
        <is>
          <t>X</t>
        </is>
      </c>
      <c r="F5" s="13" t="n">
        <v>1</v>
      </c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>
        <v>2</v>
      </c>
      <c r="E6" s="14" t="inlineStr">
        <is>
          <t>X</t>
        </is>
      </c>
      <c r="F6" s="13" t="n">
        <v>2</v>
      </c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>
        <v>1</v>
      </c>
      <c r="E7" s="14" t="inlineStr">
        <is>
          <t>X</t>
        </is>
      </c>
      <c r="F7" s="13" t="n">
        <v>1</v>
      </c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>
        <v>0</v>
      </c>
      <c r="E8" s="14" t="inlineStr">
        <is>
          <t>X</t>
        </is>
      </c>
      <c r="F8" s="13" t="n">
        <v>1</v>
      </c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1</v>
      </c>
      <c r="E9" s="14" t="inlineStr">
        <is>
          <t>X</t>
        </is>
      </c>
      <c r="F9" s="13" t="n">
        <v>2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1</v>
      </c>
      <c r="E10" s="14" t="inlineStr">
        <is>
          <t>X</t>
        </is>
      </c>
      <c r="F10" s="13" t="n">
        <v>2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2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2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3</v>
      </c>
      <c r="E13" s="14" t="inlineStr">
        <is>
          <t>X</t>
        </is>
      </c>
      <c r="F13" s="13" t="n">
        <v>1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1</v>
      </c>
      <c r="E14" s="14" t="inlineStr">
        <is>
          <t>X</t>
        </is>
      </c>
      <c r="F14" s="13" t="n">
        <v>1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2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2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4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1</v>
      </c>
      <c r="E18" s="14" t="inlineStr">
        <is>
          <t>X</t>
        </is>
      </c>
      <c r="F18" s="13" t="n">
        <v>2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1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2</v>
      </c>
      <c r="E20" s="14" t="inlineStr">
        <is>
          <t>X</t>
        </is>
      </c>
      <c r="F20" s="13" t="n">
        <v>0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3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3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1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2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3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2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3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0</v>
      </c>
      <c r="E28" s="14" t="inlineStr">
        <is>
          <t>X</t>
        </is>
      </c>
      <c r="F28" s="13" t="n">
        <v>2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2</v>
      </c>
      <c r="E29" s="14" t="inlineStr">
        <is>
          <t>X</t>
        </is>
      </c>
      <c r="F29" s="13" t="n">
        <v>1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2</v>
      </c>
      <c r="E30" s="14" t="inlineStr">
        <is>
          <t>X</t>
        </is>
      </c>
      <c r="F30" s="13" t="n">
        <v>0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1</v>
      </c>
      <c r="E31" s="14" t="inlineStr">
        <is>
          <t>X</t>
        </is>
      </c>
      <c r="F31" s="13" t="n">
        <v>1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1</v>
      </c>
      <c r="E32" s="14" t="inlineStr">
        <is>
          <t>X</t>
        </is>
      </c>
      <c r="F32" s="13" t="n">
        <v>0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2</v>
      </c>
      <c r="E33" s="14" t="inlineStr">
        <is>
          <t>X</t>
        </is>
      </c>
      <c r="F33" s="13" t="n">
        <v>0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1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5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0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2</v>
      </c>
      <c r="E37" s="14" t="inlineStr">
        <is>
          <t>X</t>
        </is>
      </c>
      <c r="F37" s="13" t="n">
        <v>1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2</v>
      </c>
      <c r="E38" s="14" t="inlineStr">
        <is>
          <t>X</t>
        </is>
      </c>
      <c r="F38" s="13" t="n">
        <v>0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3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1</v>
      </c>
      <c r="E40" s="14" t="inlineStr">
        <is>
          <t>X</t>
        </is>
      </c>
      <c r="F40" s="13" t="n">
        <v>3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3</v>
      </c>
      <c r="E41" s="14" t="inlineStr">
        <is>
          <t>X</t>
        </is>
      </c>
      <c r="F41" s="13" t="n">
        <v>1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3</v>
      </c>
      <c r="E42" s="14" t="inlineStr">
        <is>
          <t>X</t>
        </is>
      </c>
      <c r="F42" s="13" t="n">
        <v>1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4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0</v>
      </c>
      <c r="E44" s="14" t="inlineStr">
        <is>
          <t>X</t>
        </is>
      </c>
      <c r="F44" s="13" t="n">
        <v>2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4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2</v>
      </c>
      <c r="E46" s="14" t="inlineStr">
        <is>
          <t>X</t>
        </is>
      </c>
      <c r="F46" s="13" t="n">
        <v>1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2</v>
      </c>
      <c r="E47" s="14" t="inlineStr">
        <is>
          <t>X</t>
        </is>
      </c>
      <c r="F47" s="13" t="n">
        <v>0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1</v>
      </c>
      <c r="E48" s="14" t="inlineStr">
        <is>
          <t>X</t>
        </is>
      </c>
      <c r="F48" s="13" t="n">
        <v>1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2</v>
      </c>
      <c r="E49" s="14" t="inlineStr">
        <is>
          <t>X</t>
        </is>
      </c>
      <c r="F49" s="13" t="n">
        <v>0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3</v>
      </c>
      <c r="E50" s="14" t="inlineStr">
        <is>
          <t>X</t>
        </is>
      </c>
      <c r="F50" s="13" t="n">
        <v>2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1</v>
      </c>
      <c r="E51" s="14" t="inlineStr">
        <is>
          <t>X</t>
        </is>
      </c>
      <c r="F51" s="13" t="n">
        <v>4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3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1</v>
      </c>
      <c r="E53" s="14" t="inlineStr">
        <is>
          <t>X</t>
        </is>
      </c>
      <c r="F53" s="13" t="n">
        <v>1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2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1</v>
      </c>
      <c r="E55" s="14" t="inlineStr">
        <is>
          <t>X</t>
        </is>
      </c>
      <c r="F55" s="13" t="n">
        <v>3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4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1</v>
      </c>
      <c r="E57" s="14" t="inlineStr">
        <is>
          <t>X</t>
        </is>
      </c>
      <c r="F57" s="13" t="n">
        <v>3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0</v>
      </c>
      <c r="E58" s="14" t="inlineStr">
        <is>
          <t>X</t>
        </is>
      </c>
      <c r="F58" s="13" t="n">
        <v>2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0</v>
      </c>
      <c r="E59" s="14" t="inlineStr">
        <is>
          <t>X</t>
        </is>
      </c>
      <c r="F59" s="13" t="n">
        <v>0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2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3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0</v>
      </c>
      <c r="E63" s="14" t="inlineStr">
        <is>
          <t>X</t>
        </is>
      </c>
      <c r="F63" s="13" t="n">
        <v>3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2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2</v>
      </c>
      <c r="E66" s="14" t="inlineStr">
        <is>
          <t>X</t>
        </is>
      </c>
      <c r="F66" s="13" t="n">
        <v>1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1</v>
      </c>
      <c r="E67" s="14" t="inlineStr">
        <is>
          <t>X</t>
        </is>
      </c>
      <c r="F67" s="13" t="n">
        <v>1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0</v>
      </c>
      <c r="E68" s="14" t="inlineStr">
        <is>
          <t>X</t>
        </is>
      </c>
      <c r="F68" s="13" t="n">
        <v>3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2</v>
      </c>
      <c r="E69" s="14" t="inlineStr">
        <is>
          <t>X</t>
        </is>
      </c>
      <c r="F69" s="13" t="n">
        <v>0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3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1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3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4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0</v>
      </c>
      <c r="E75" s="14" t="inlineStr">
        <is>
          <t>X</t>
        </is>
      </c>
      <c r="F75" s="13" t="n">
        <v>1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1</v>
      </c>
      <c r="E76" s="14" t="inlineStr">
        <is>
          <t>X</t>
        </is>
      </c>
      <c r="F76" s="13" t="n">
        <v>1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0</v>
      </c>
      <c r="E77" t="inlineStr">
        <is>
          <t>X</t>
        </is>
      </c>
      <c r="F77" t="n">
        <v>2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1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2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2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3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2</v>
      </c>
      <c r="E82" t="inlineStr">
        <is>
          <t>X</t>
        </is>
      </c>
      <c r="F82" t="n">
        <v>3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0</v>
      </c>
      <c r="E83" t="inlineStr">
        <is>
          <t>X</t>
        </is>
      </c>
      <c r="F83" t="n">
        <v>2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2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3</v>
      </c>
      <c r="E85" t="inlineStr">
        <is>
          <t>X</t>
        </is>
      </c>
      <c r="F85" t="n">
        <v>0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1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0</v>
      </c>
      <c r="E87" t="inlineStr">
        <is>
          <t>X</t>
        </is>
      </c>
      <c r="F87" t="n">
        <v>1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2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2</v>
      </c>
      <c r="E89" t="inlineStr">
        <is>
          <t>X</t>
        </is>
      </c>
      <c r="F89" t="n">
        <v>2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4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3</v>
      </c>
      <c r="E91" t="inlineStr">
        <is>
          <t>X</t>
        </is>
      </c>
      <c r="F91" t="n">
        <v>1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2</v>
      </c>
      <c r="E92" t="inlineStr">
        <is>
          <t>X</t>
        </is>
      </c>
      <c r="F92" t="n">
        <v>1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1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2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3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3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1</v>
      </c>
      <c r="E96" t="inlineStr">
        <is>
          <t>X</t>
        </is>
      </c>
      <c r="F96" t="n">
        <v>1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1</v>
      </c>
      <c r="E97" t="inlineStr">
        <is>
          <t>X</t>
        </is>
      </c>
      <c r="F97" t="n">
        <v>3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2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0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0</v>
      </c>
      <c r="E100" t="inlineStr">
        <is>
          <t>X</t>
        </is>
      </c>
      <c r="F100" t="n">
        <v>2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1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3</v>
      </c>
      <c r="E101" t="inlineStr">
        <is>
          <t>X</t>
        </is>
      </c>
      <c r="F101" t="n">
        <v>1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2</v>
      </c>
      <c r="E102" t="inlineStr">
        <is>
          <t>X</t>
        </is>
      </c>
      <c r="F102" t="n">
        <v>0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2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1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1</v>
      </c>
      <c r="E105" t="inlineStr">
        <is>
          <t>X</t>
        </is>
      </c>
      <c r="F105" t="n">
        <v>2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2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3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3</v>
      </c>
      <c r="E108" t="inlineStr">
        <is>
          <t>X</t>
        </is>
      </c>
      <c r="F108" t="n">
        <v>1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44" zoomScaleNormal="100" workbookViewId="0">
      <selection activeCell="D52" sqref="D52"/>
    </sheetView>
  </sheetViews>
  <sheetFormatPr baseColWidth="8" defaultColWidth="8.7109375" defaultRowHeight="12.75"/>
  <cols>
    <col width="9.5703125" customWidth="1" min="1" max="1"/>
    <col width="7.5703125" customWidth="1" min="2" max="2"/>
    <col width="17.5703125" customWidth="1" min="3" max="3"/>
    <col width="5.5703125" customWidth="1" min="4" max="4"/>
    <col width="3.7109375" customWidth="1" min="5" max="5"/>
    <col width="5.5703125" customWidth="1" min="6" max="6"/>
    <col width="17.5703125" customWidth="1" style="2" min="7" max="7"/>
    <col width="8.5703125" customWidth="1" min="8" max="9"/>
    <col width="11.140625" customWidth="1" min="10" max="10"/>
  </cols>
  <sheetData>
    <row r="1" ht="21.75" customHeight="1">
      <c r="A1" s="77" t="inlineStr">
        <is>
          <t>COPA 2026 - TABELA DE APOSTAS</t>
        </is>
      </c>
      <c r="B1" s="114" t="n"/>
      <c r="C1" s="114" t="n"/>
      <c r="D1" s="114" t="n"/>
      <c r="E1" s="97" t="n"/>
      <c r="F1" s="78" t="inlineStr">
        <is>
          <t xml:space="preserve">Pagamento = Pix </t>
        </is>
      </c>
      <c r="G1" s="114" t="n"/>
      <c r="H1" s="114" t="n"/>
      <c r="I1" s="114" t="n"/>
      <c r="J1" s="3" t="n">
        <v>50</v>
      </c>
    </row>
    <row r="2" ht="20.25" customHeight="1">
      <c r="A2" s="4" t="inlineStr">
        <is>
          <t>Nome:</t>
        </is>
      </c>
      <c r="B2" s="79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20.25" customHeight="1">
      <c r="A3" s="5" t="inlineStr">
        <is>
          <t>Celular:</t>
        </is>
      </c>
      <c r="B3" s="80" t="n"/>
      <c r="C3" s="97" t="n"/>
      <c r="D3" s="81" t="inlineStr">
        <is>
          <t xml:space="preserve">e-mail: </t>
        </is>
      </c>
      <c r="E3" s="115" t="n"/>
      <c r="F3" s="103" t="n"/>
      <c r="G3" s="82" t="n"/>
      <c r="H3" s="115" t="n"/>
      <c r="I3" s="115" t="n"/>
      <c r="J3" s="103" t="n"/>
    </row>
    <row r="4" ht="13.5" customHeight="1">
      <c r="A4" s="6" t="inlineStr">
        <is>
          <t>JOGOS</t>
        </is>
      </c>
      <c r="B4" s="7" t="inlineStr">
        <is>
          <t>GRUPO</t>
        </is>
      </c>
      <c r="C4" s="8" t="n"/>
      <c r="D4" s="9" t="n"/>
      <c r="E4" s="9" t="n"/>
      <c r="F4" s="9" t="n"/>
      <c r="G4" s="10" t="n"/>
      <c r="H4" s="76" t="inlineStr">
        <is>
          <t>DIA</t>
        </is>
      </c>
      <c r="I4" s="116" t="n"/>
      <c r="J4" s="76" t="inlineStr">
        <is>
          <t>HORA</t>
        </is>
      </c>
    </row>
    <row r="5" ht="15" customHeight="1">
      <c r="A5" s="11" t="n">
        <v>1</v>
      </c>
      <c r="B5" s="11" t="inlineStr">
        <is>
          <t>A</t>
        </is>
      </c>
      <c r="C5" s="12" t="inlineStr">
        <is>
          <t>México</t>
        </is>
      </c>
      <c r="D5" s="13" t="n">
        <v>2</v>
      </c>
      <c r="E5" s="14" t="inlineStr">
        <is>
          <t>X</t>
        </is>
      </c>
      <c r="F5" s="13" t="n">
        <v>0</v>
      </c>
      <c r="G5" s="12" t="inlineStr">
        <is>
          <t>África do Sul</t>
        </is>
      </c>
      <c r="H5" s="15" t="n">
        <v>46184</v>
      </c>
      <c r="I5" s="16">
        <f>H5</f>
        <v/>
      </c>
      <c r="J5" s="117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11" t="n">
        <v>2</v>
      </c>
      <c r="B6" s="11" t="inlineStr">
        <is>
          <t>A</t>
        </is>
      </c>
      <c r="C6" s="12" t="inlineStr">
        <is>
          <t>Coreia do Sul</t>
        </is>
      </c>
      <c r="D6" s="13" t="n">
        <v>2</v>
      </c>
      <c r="E6" s="14" t="inlineStr">
        <is>
          <t>X</t>
        </is>
      </c>
      <c r="F6" s="13" t="n">
        <v>1</v>
      </c>
      <c r="G6" s="12" t="inlineStr">
        <is>
          <t>Tchéquia</t>
        </is>
      </c>
      <c r="H6" s="15" t="n">
        <v>46184</v>
      </c>
      <c r="I6" s="16">
        <f>H6</f>
        <v/>
      </c>
      <c r="J6" s="117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11" t="n">
        <v>3</v>
      </c>
      <c r="B7" s="11" t="inlineStr">
        <is>
          <t>B</t>
        </is>
      </c>
      <c r="C7" s="12" t="inlineStr">
        <is>
          <t>Canadá</t>
        </is>
      </c>
      <c r="D7" s="13" t="n">
        <v>1</v>
      </c>
      <c r="E7" s="14" t="inlineStr">
        <is>
          <t>X</t>
        </is>
      </c>
      <c r="F7" s="13" t="n">
        <v>1</v>
      </c>
      <c r="G7" s="12" t="inlineStr">
        <is>
          <t>Bósnia</t>
        </is>
      </c>
      <c r="H7" s="15" t="n">
        <v>46185</v>
      </c>
      <c r="I7" s="16">
        <f>H7</f>
        <v/>
      </c>
      <c r="J7" s="117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11" t="n">
        <v>4</v>
      </c>
      <c r="B8" s="11" t="inlineStr">
        <is>
          <t>D</t>
        </is>
      </c>
      <c r="C8" s="12" t="inlineStr">
        <is>
          <t>EUA</t>
        </is>
      </c>
      <c r="D8" s="13" t="n">
        <v>3</v>
      </c>
      <c r="E8" s="14" t="inlineStr">
        <is>
          <t>X</t>
        </is>
      </c>
      <c r="F8" s="13" t="n">
        <v>1</v>
      </c>
      <c r="G8" s="12" t="inlineStr">
        <is>
          <t>Paraguai</t>
        </is>
      </c>
      <c r="H8" s="15" t="n">
        <v>46185</v>
      </c>
      <c r="I8" s="16">
        <f>H8</f>
        <v/>
      </c>
      <c r="J8" s="117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11" t="n">
        <v>5</v>
      </c>
      <c r="B9" s="11" t="inlineStr">
        <is>
          <t>D</t>
        </is>
      </c>
      <c r="C9" s="12" t="inlineStr">
        <is>
          <t>Austrália</t>
        </is>
      </c>
      <c r="D9" s="13" t="n">
        <v>0</v>
      </c>
      <c r="E9" s="14" t="inlineStr">
        <is>
          <t>X</t>
        </is>
      </c>
      <c r="F9" s="13" t="n">
        <v>0</v>
      </c>
      <c r="G9" s="12" t="inlineStr">
        <is>
          <t>Turquia</t>
        </is>
      </c>
      <c r="H9" s="15" t="n">
        <v>46186</v>
      </c>
      <c r="I9" s="16">
        <f>H9</f>
        <v/>
      </c>
      <c r="J9" s="117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11" t="n">
        <v>6</v>
      </c>
      <c r="B10" s="11" t="inlineStr">
        <is>
          <t>B</t>
        </is>
      </c>
      <c r="C10" s="12" t="inlineStr">
        <is>
          <t>Catar</t>
        </is>
      </c>
      <c r="D10" s="13" t="n">
        <v>0</v>
      </c>
      <c r="E10" s="14" t="inlineStr">
        <is>
          <t>X</t>
        </is>
      </c>
      <c r="F10" s="13" t="n">
        <v>3</v>
      </c>
      <c r="G10" s="12" t="inlineStr">
        <is>
          <t>Suíça</t>
        </is>
      </c>
      <c r="H10" s="15" t="n">
        <v>46186</v>
      </c>
      <c r="I10" s="16">
        <f>H10</f>
        <v/>
      </c>
      <c r="J10" s="117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11" t="n">
        <v>7</v>
      </c>
      <c r="B11" s="11" t="inlineStr">
        <is>
          <t>C</t>
        </is>
      </c>
      <c r="C11" s="18" t="inlineStr">
        <is>
          <t>Brasil</t>
        </is>
      </c>
      <c r="D11" s="13" t="n">
        <v>1</v>
      </c>
      <c r="E11" s="14" t="inlineStr">
        <is>
          <t>X</t>
        </is>
      </c>
      <c r="F11" s="13" t="n">
        <v>1</v>
      </c>
      <c r="G11" s="12" t="inlineStr">
        <is>
          <t>Marrocos</t>
        </is>
      </c>
      <c r="H11" s="15" t="n">
        <v>46186</v>
      </c>
      <c r="I11" s="16">
        <f>H11</f>
        <v/>
      </c>
      <c r="J11" s="117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11" t="n">
        <v>8</v>
      </c>
      <c r="B12" s="11" t="inlineStr">
        <is>
          <t>C</t>
        </is>
      </c>
      <c r="C12" s="12" t="inlineStr">
        <is>
          <t>Haiti</t>
        </is>
      </c>
      <c r="D12" s="13" t="n">
        <v>0</v>
      </c>
      <c r="E12" s="14" t="inlineStr">
        <is>
          <t>X</t>
        </is>
      </c>
      <c r="F12" s="13" t="n">
        <v>3</v>
      </c>
      <c r="G12" s="12" t="inlineStr">
        <is>
          <t>Escócia</t>
        </is>
      </c>
      <c r="H12" s="15" t="n">
        <v>46186</v>
      </c>
      <c r="I12" s="16">
        <f>H12</f>
        <v/>
      </c>
      <c r="J12" s="117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11" t="n">
        <v>9</v>
      </c>
      <c r="B13" s="11" t="inlineStr">
        <is>
          <t>E</t>
        </is>
      </c>
      <c r="C13" s="12" t="inlineStr">
        <is>
          <t>Alemanha</t>
        </is>
      </c>
      <c r="D13" s="13" t="n">
        <v>4</v>
      </c>
      <c r="E13" s="14" t="inlineStr">
        <is>
          <t>X</t>
        </is>
      </c>
      <c r="F13" s="13" t="n">
        <v>0</v>
      </c>
      <c r="G13" s="12" t="inlineStr">
        <is>
          <t>Curaçau</t>
        </is>
      </c>
      <c r="H13" s="15" t="n">
        <v>46187</v>
      </c>
      <c r="I13" s="16">
        <f>H13</f>
        <v/>
      </c>
      <c r="J13" s="117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11" t="n">
        <v>10</v>
      </c>
      <c r="B14" s="11" t="inlineStr">
        <is>
          <t>F</t>
        </is>
      </c>
      <c r="C14" s="12" t="inlineStr">
        <is>
          <t>Holanda</t>
        </is>
      </c>
      <c r="D14" s="13" t="n">
        <v>2</v>
      </c>
      <c r="E14" s="14" t="inlineStr">
        <is>
          <t>X</t>
        </is>
      </c>
      <c r="F14" s="13" t="n">
        <v>2</v>
      </c>
      <c r="G14" s="12" t="inlineStr">
        <is>
          <t>Japão</t>
        </is>
      </c>
      <c r="H14" s="15" t="n">
        <v>46187</v>
      </c>
      <c r="I14" s="16">
        <f>H14</f>
        <v/>
      </c>
      <c r="J14" s="117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11" t="n">
        <v>11</v>
      </c>
      <c r="B15" s="11" t="inlineStr">
        <is>
          <t>E</t>
        </is>
      </c>
      <c r="C15" s="12" t="inlineStr">
        <is>
          <t>Costa do Marfim</t>
        </is>
      </c>
      <c r="D15" s="13" t="n">
        <v>1</v>
      </c>
      <c r="E15" s="14" t="inlineStr">
        <is>
          <t>X</t>
        </is>
      </c>
      <c r="F15" s="13" t="n">
        <v>2</v>
      </c>
      <c r="G15" s="12" t="inlineStr">
        <is>
          <t>Equador</t>
        </is>
      </c>
      <c r="H15" s="15" t="n">
        <v>46187</v>
      </c>
      <c r="I15" s="16">
        <f>H15</f>
        <v/>
      </c>
      <c r="J15" s="117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11" t="n">
        <v>12</v>
      </c>
      <c r="B16" s="11" t="inlineStr">
        <is>
          <t>F</t>
        </is>
      </c>
      <c r="C16" s="12" t="inlineStr">
        <is>
          <t>Suécia</t>
        </is>
      </c>
      <c r="D16" s="13" t="n">
        <v>2</v>
      </c>
      <c r="E16" s="14" t="inlineStr">
        <is>
          <t>X</t>
        </is>
      </c>
      <c r="F16" s="13" t="n">
        <v>0</v>
      </c>
      <c r="G16" s="12" t="inlineStr">
        <is>
          <t>Tunísia</t>
        </is>
      </c>
      <c r="H16" s="15" t="n">
        <v>46187</v>
      </c>
      <c r="I16" s="16">
        <f>H16</f>
        <v/>
      </c>
      <c r="J16" s="117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11" t="n">
        <v>13</v>
      </c>
      <c r="B17" s="11" t="inlineStr">
        <is>
          <t>H</t>
        </is>
      </c>
      <c r="C17" s="12" t="inlineStr">
        <is>
          <t>Espanha</t>
        </is>
      </c>
      <c r="D17" s="13" t="n">
        <v>5</v>
      </c>
      <c r="E17" s="14" t="inlineStr">
        <is>
          <t>X</t>
        </is>
      </c>
      <c r="F17" s="13" t="n">
        <v>0</v>
      </c>
      <c r="G17" s="12" t="inlineStr">
        <is>
          <t>Cabo Verde</t>
        </is>
      </c>
      <c r="H17" s="15" t="n">
        <v>46188</v>
      </c>
      <c r="I17" s="16">
        <f>H17</f>
        <v/>
      </c>
      <c r="J17" s="117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11" t="n">
        <v>14</v>
      </c>
      <c r="B18" s="11" t="inlineStr">
        <is>
          <t>G</t>
        </is>
      </c>
      <c r="C18" s="12" t="inlineStr">
        <is>
          <t>Bélgica</t>
        </is>
      </c>
      <c r="D18" s="13" t="n">
        <v>3</v>
      </c>
      <c r="E18" s="14" t="inlineStr">
        <is>
          <t>X</t>
        </is>
      </c>
      <c r="F18" s="13" t="n">
        <v>0</v>
      </c>
      <c r="G18" s="12" t="inlineStr">
        <is>
          <t>Egito</t>
        </is>
      </c>
      <c r="H18" s="15" t="n">
        <v>46188</v>
      </c>
      <c r="I18" s="16">
        <f>H18</f>
        <v/>
      </c>
      <c r="J18" s="117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11" t="n">
        <v>15</v>
      </c>
      <c r="B19" s="11" t="inlineStr">
        <is>
          <t>H</t>
        </is>
      </c>
      <c r="C19" s="12" t="inlineStr">
        <is>
          <t>Arábia Saudita</t>
        </is>
      </c>
      <c r="D19" s="13" t="n">
        <v>0</v>
      </c>
      <c r="E19" s="14" t="inlineStr">
        <is>
          <t>X</t>
        </is>
      </c>
      <c r="F19" s="13" t="n">
        <v>2</v>
      </c>
      <c r="G19" s="12" t="inlineStr">
        <is>
          <t>Uruguai</t>
        </is>
      </c>
      <c r="H19" s="15" t="n">
        <v>46188</v>
      </c>
      <c r="I19" s="16">
        <f>H19</f>
        <v/>
      </c>
      <c r="J19" s="117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11" t="n">
        <v>16</v>
      </c>
      <c r="B20" s="11" t="inlineStr">
        <is>
          <t>G</t>
        </is>
      </c>
      <c r="C20" s="12" t="inlineStr">
        <is>
          <t>Irã</t>
        </is>
      </c>
      <c r="D20" s="13" t="n">
        <v>2</v>
      </c>
      <c r="E20" s="14" t="inlineStr">
        <is>
          <t>X</t>
        </is>
      </c>
      <c r="F20" s="13" t="n">
        <v>0</v>
      </c>
      <c r="G20" s="12" t="inlineStr">
        <is>
          <t>Nova Zelândia</t>
        </is>
      </c>
      <c r="H20" s="15" t="n">
        <v>46188</v>
      </c>
      <c r="I20" s="16">
        <f>H20</f>
        <v/>
      </c>
      <c r="J20" s="117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11" t="n">
        <v>17</v>
      </c>
      <c r="B21" s="11" t="inlineStr">
        <is>
          <t>I</t>
        </is>
      </c>
      <c r="C21" s="12" t="inlineStr">
        <is>
          <t>França</t>
        </is>
      </c>
      <c r="D21" s="13" t="n">
        <v>3</v>
      </c>
      <c r="E21" s="14" t="inlineStr">
        <is>
          <t>X</t>
        </is>
      </c>
      <c r="F21" s="13" t="n">
        <v>1</v>
      </c>
      <c r="G21" s="12" t="inlineStr">
        <is>
          <t>Senegal</t>
        </is>
      </c>
      <c r="H21" s="15" t="n">
        <v>46189</v>
      </c>
      <c r="I21" s="16">
        <f>H21</f>
        <v/>
      </c>
      <c r="J21" s="117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11" t="n">
        <v>18</v>
      </c>
      <c r="B22" s="11" t="inlineStr">
        <is>
          <t>I</t>
        </is>
      </c>
      <c r="C22" s="12" t="inlineStr">
        <is>
          <t>Iraque</t>
        </is>
      </c>
      <c r="D22" s="13" t="n">
        <v>0</v>
      </c>
      <c r="E22" s="14" t="inlineStr">
        <is>
          <t>X</t>
        </is>
      </c>
      <c r="F22" s="13" t="n">
        <v>2</v>
      </c>
      <c r="G22" s="12" t="inlineStr">
        <is>
          <t>Noruega</t>
        </is>
      </c>
      <c r="H22" s="15" t="n">
        <v>46189</v>
      </c>
      <c r="I22" s="16">
        <f>H22</f>
        <v/>
      </c>
      <c r="J22" s="117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11" t="n">
        <v>19</v>
      </c>
      <c r="B23" s="11" t="inlineStr">
        <is>
          <t>J</t>
        </is>
      </c>
      <c r="C23" s="12" t="inlineStr">
        <is>
          <t>Argentina</t>
        </is>
      </c>
      <c r="D23" s="13" t="n">
        <v>2</v>
      </c>
      <c r="E23" s="14" t="inlineStr">
        <is>
          <t>X</t>
        </is>
      </c>
      <c r="F23" s="13" t="n">
        <v>0</v>
      </c>
      <c r="G23" s="12" t="inlineStr">
        <is>
          <t>Argélia</t>
        </is>
      </c>
      <c r="H23" s="15" t="n">
        <v>46189</v>
      </c>
      <c r="I23" s="16">
        <f>H23</f>
        <v/>
      </c>
      <c r="J23" s="117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11" t="n">
        <v>20</v>
      </c>
      <c r="B24" s="11" t="inlineStr">
        <is>
          <t>J</t>
        </is>
      </c>
      <c r="C24" s="12" t="inlineStr">
        <is>
          <t>Áustria</t>
        </is>
      </c>
      <c r="D24" s="13" t="n">
        <v>0</v>
      </c>
      <c r="E24" s="14" t="inlineStr">
        <is>
          <t>X</t>
        </is>
      </c>
      <c r="F24" s="13" t="n">
        <v>0</v>
      </c>
      <c r="G24" s="12" t="inlineStr">
        <is>
          <t>Jordânia</t>
        </is>
      </c>
      <c r="H24" s="15" t="n">
        <v>46190</v>
      </c>
      <c r="I24" s="16">
        <f>H24</f>
        <v/>
      </c>
      <c r="J24" s="117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11" t="n">
        <v>21</v>
      </c>
      <c r="B25" s="11" t="inlineStr">
        <is>
          <t>K</t>
        </is>
      </c>
      <c r="C25" s="12" t="inlineStr">
        <is>
          <t>Portugal</t>
        </is>
      </c>
      <c r="D25" s="13" t="n">
        <v>2</v>
      </c>
      <c r="E25" s="14" t="inlineStr">
        <is>
          <t>X</t>
        </is>
      </c>
      <c r="F25" s="13" t="n">
        <v>0</v>
      </c>
      <c r="G25" s="12" t="inlineStr">
        <is>
          <t>RD Congo</t>
        </is>
      </c>
      <c r="H25" s="15" t="n">
        <v>46190</v>
      </c>
      <c r="I25" s="16">
        <f>H25</f>
        <v/>
      </c>
      <c r="J25" s="117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11" t="n">
        <v>22</v>
      </c>
      <c r="B26" s="11" t="inlineStr">
        <is>
          <t>L</t>
        </is>
      </c>
      <c r="C26" s="12" t="inlineStr">
        <is>
          <t>Inglaterra</t>
        </is>
      </c>
      <c r="D26" s="13" t="n">
        <v>2</v>
      </c>
      <c r="E26" s="14" t="inlineStr">
        <is>
          <t>X</t>
        </is>
      </c>
      <c r="F26" s="13" t="n">
        <v>2</v>
      </c>
      <c r="G26" s="12" t="inlineStr">
        <is>
          <t>Croácia</t>
        </is>
      </c>
      <c r="H26" s="15" t="n">
        <v>46190</v>
      </c>
      <c r="I26" s="16">
        <f>H26</f>
        <v/>
      </c>
      <c r="J26" s="117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11" t="n">
        <v>23</v>
      </c>
      <c r="B27" s="11" t="inlineStr">
        <is>
          <t>L</t>
        </is>
      </c>
      <c r="C27" s="12" t="inlineStr">
        <is>
          <t>Gana</t>
        </is>
      </c>
      <c r="D27" s="13" t="n">
        <v>3</v>
      </c>
      <c r="E27" s="14" t="inlineStr">
        <is>
          <t>X</t>
        </is>
      </c>
      <c r="F27" s="13" t="n">
        <v>0</v>
      </c>
      <c r="G27" s="12" t="inlineStr">
        <is>
          <t>Panamá</t>
        </is>
      </c>
      <c r="H27" s="15" t="n">
        <v>46190</v>
      </c>
      <c r="I27" s="16">
        <f>H27</f>
        <v/>
      </c>
      <c r="J27" s="117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11" t="n">
        <v>24</v>
      </c>
      <c r="B28" s="11" t="inlineStr">
        <is>
          <t>K</t>
        </is>
      </c>
      <c r="C28" s="12" t="inlineStr">
        <is>
          <t>Uzbequistão</t>
        </is>
      </c>
      <c r="D28" s="13" t="n">
        <v>1</v>
      </c>
      <c r="E28" s="14" t="inlineStr">
        <is>
          <t>X</t>
        </is>
      </c>
      <c r="F28" s="13" t="n">
        <v>2</v>
      </c>
      <c r="G28" s="12" t="inlineStr">
        <is>
          <t>Colômbia</t>
        </is>
      </c>
      <c r="H28" s="15" t="n">
        <v>46190</v>
      </c>
      <c r="I28" s="16">
        <f>H28</f>
        <v/>
      </c>
      <c r="J28" s="117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11" t="n">
        <v>25</v>
      </c>
      <c r="B29" s="11" t="inlineStr">
        <is>
          <t>A</t>
        </is>
      </c>
      <c r="C29" s="12" t="inlineStr">
        <is>
          <t>Tchéquia</t>
        </is>
      </c>
      <c r="D29" s="13" t="n">
        <v>1</v>
      </c>
      <c r="E29" s="14" t="inlineStr">
        <is>
          <t>X</t>
        </is>
      </c>
      <c r="F29" s="13" t="n">
        <v>0</v>
      </c>
      <c r="G29" s="12" t="inlineStr">
        <is>
          <t>África do Sul</t>
        </is>
      </c>
      <c r="H29" s="15" t="n">
        <v>46191</v>
      </c>
      <c r="I29" s="16">
        <f>H29</f>
        <v/>
      </c>
      <c r="J29" s="117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11" t="n">
        <v>26</v>
      </c>
      <c r="B30" s="11" t="inlineStr">
        <is>
          <t>B</t>
        </is>
      </c>
      <c r="C30" s="12" t="inlineStr">
        <is>
          <t>Suíça</t>
        </is>
      </c>
      <c r="D30" s="13" t="n">
        <v>2</v>
      </c>
      <c r="E30" s="14" t="inlineStr">
        <is>
          <t>X</t>
        </is>
      </c>
      <c r="F30" s="13" t="n">
        <v>0</v>
      </c>
      <c r="G30" s="12" t="inlineStr">
        <is>
          <t>Bósnia</t>
        </is>
      </c>
      <c r="H30" s="15" t="n">
        <v>46191</v>
      </c>
      <c r="I30" s="16">
        <f>H30</f>
        <v/>
      </c>
      <c r="J30" s="117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11" t="n">
        <v>27</v>
      </c>
      <c r="B31" s="11" t="inlineStr">
        <is>
          <t>B</t>
        </is>
      </c>
      <c r="C31" s="12" t="inlineStr">
        <is>
          <t>Canadá</t>
        </is>
      </c>
      <c r="D31" s="13" t="n">
        <v>1</v>
      </c>
      <c r="E31" s="14" t="inlineStr">
        <is>
          <t>X</t>
        </is>
      </c>
      <c r="F31" s="13" t="n">
        <v>1</v>
      </c>
      <c r="G31" s="12" t="inlineStr">
        <is>
          <t>Catar</t>
        </is>
      </c>
      <c r="H31" s="15" t="n">
        <v>46191</v>
      </c>
      <c r="I31" s="16">
        <f>H31</f>
        <v/>
      </c>
      <c r="J31" s="117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11" t="n">
        <v>28</v>
      </c>
      <c r="B32" s="11" t="inlineStr">
        <is>
          <t>A</t>
        </is>
      </c>
      <c r="C32" s="12" t="inlineStr">
        <is>
          <t>México</t>
        </is>
      </c>
      <c r="D32" s="13" t="n">
        <v>2</v>
      </c>
      <c r="E32" s="14" t="inlineStr">
        <is>
          <t>X</t>
        </is>
      </c>
      <c r="F32" s="13" t="n">
        <v>2</v>
      </c>
      <c r="G32" s="12" t="inlineStr">
        <is>
          <t>Coreia do Sul</t>
        </is>
      </c>
      <c r="H32" s="15" t="n">
        <v>46191</v>
      </c>
      <c r="I32" s="16">
        <f>H32</f>
        <v/>
      </c>
      <c r="J32" s="117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11" t="n">
        <v>29</v>
      </c>
      <c r="B33" s="11" t="inlineStr">
        <is>
          <t>D</t>
        </is>
      </c>
      <c r="C33" s="12" t="inlineStr">
        <is>
          <t>EUA</t>
        </is>
      </c>
      <c r="D33" s="13" t="n">
        <v>3</v>
      </c>
      <c r="E33" s="14" t="inlineStr">
        <is>
          <t>X</t>
        </is>
      </c>
      <c r="F33" s="13" t="n">
        <v>1</v>
      </c>
      <c r="G33" s="12" t="inlineStr">
        <is>
          <t>Austrália</t>
        </is>
      </c>
      <c r="H33" s="15" t="n">
        <v>46192</v>
      </c>
      <c r="I33" s="16">
        <f>H33</f>
        <v/>
      </c>
      <c r="J33" s="117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11" t="n">
        <v>30</v>
      </c>
      <c r="B34" s="11" t="inlineStr">
        <is>
          <t>C</t>
        </is>
      </c>
      <c r="C34" s="12" t="inlineStr">
        <is>
          <t>Marrocos</t>
        </is>
      </c>
      <c r="D34" s="13" t="n">
        <v>2</v>
      </c>
      <c r="E34" s="14" t="inlineStr">
        <is>
          <t>X</t>
        </is>
      </c>
      <c r="F34" s="13" t="n">
        <v>0</v>
      </c>
      <c r="G34" s="12" t="inlineStr">
        <is>
          <t>Escócia</t>
        </is>
      </c>
      <c r="H34" s="15" t="n">
        <v>46192</v>
      </c>
      <c r="I34" s="16">
        <f>H34</f>
        <v/>
      </c>
      <c r="J34" s="117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11" t="n">
        <v>31</v>
      </c>
      <c r="B35" s="11" t="inlineStr">
        <is>
          <t>C</t>
        </is>
      </c>
      <c r="C35" s="18" t="inlineStr">
        <is>
          <t>Brasil</t>
        </is>
      </c>
      <c r="D35" s="13" t="n">
        <v>5</v>
      </c>
      <c r="E35" s="14" t="inlineStr">
        <is>
          <t>X</t>
        </is>
      </c>
      <c r="F35" s="13" t="n">
        <v>0</v>
      </c>
      <c r="G35" s="12" t="inlineStr">
        <is>
          <t>Haiti</t>
        </is>
      </c>
      <c r="H35" s="15" t="n">
        <v>46192</v>
      </c>
      <c r="I35" s="16">
        <f>H35</f>
        <v/>
      </c>
      <c r="J35" s="117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11" t="n">
        <v>32</v>
      </c>
      <c r="B36" s="11" t="inlineStr">
        <is>
          <t>D</t>
        </is>
      </c>
      <c r="C36" s="12" t="inlineStr">
        <is>
          <t>Turquia</t>
        </is>
      </c>
      <c r="D36" s="13" t="n">
        <v>0</v>
      </c>
      <c r="E36" s="14" t="inlineStr">
        <is>
          <t>X</t>
        </is>
      </c>
      <c r="F36" s="13" t="n">
        <v>1</v>
      </c>
      <c r="G36" s="12" t="inlineStr">
        <is>
          <t>Paraguai</t>
        </is>
      </c>
      <c r="H36" s="15" t="n">
        <v>46193</v>
      </c>
      <c r="I36" s="16">
        <f>H36</f>
        <v/>
      </c>
      <c r="J36" s="117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11" t="n">
        <v>33</v>
      </c>
      <c r="B37" s="11" t="inlineStr">
        <is>
          <t>F</t>
        </is>
      </c>
      <c r="C37" s="12" t="inlineStr">
        <is>
          <t>Holanda</t>
        </is>
      </c>
      <c r="D37" s="13" t="n">
        <v>1</v>
      </c>
      <c r="E37" s="14" t="inlineStr">
        <is>
          <t>X</t>
        </is>
      </c>
      <c r="F37" s="13" t="n">
        <v>0</v>
      </c>
      <c r="G37" s="12" t="inlineStr">
        <is>
          <t>Suécia</t>
        </is>
      </c>
      <c r="H37" s="15" t="n">
        <v>46193</v>
      </c>
      <c r="I37" s="16">
        <f>H37</f>
        <v/>
      </c>
      <c r="J37" s="117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11" t="n">
        <v>34</v>
      </c>
      <c r="B38" s="11" t="inlineStr">
        <is>
          <t>E</t>
        </is>
      </c>
      <c r="C38" s="12" t="inlineStr">
        <is>
          <t>Alemanha</t>
        </is>
      </c>
      <c r="D38" s="13" t="n">
        <v>3</v>
      </c>
      <c r="E38" s="14" t="inlineStr">
        <is>
          <t>X</t>
        </is>
      </c>
      <c r="F38" s="13" t="n">
        <v>1</v>
      </c>
      <c r="G38" s="12" t="inlineStr">
        <is>
          <t>Costa do Marfim</t>
        </is>
      </c>
      <c r="H38" s="15" t="n">
        <v>46193</v>
      </c>
      <c r="I38" s="16">
        <f>H38</f>
        <v/>
      </c>
      <c r="J38" s="117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11" t="n">
        <v>35</v>
      </c>
      <c r="B39" s="11" t="inlineStr">
        <is>
          <t>E</t>
        </is>
      </c>
      <c r="C39" s="12" t="inlineStr">
        <is>
          <t>Equador</t>
        </is>
      </c>
      <c r="D39" s="13" t="n">
        <v>3</v>
      </c>
      <c r="E39" s="14" t="inlineStr">
        <is>
          <t>X</t>
        </is>
      </c>
      <c r="F39" s="13" t="n">
        <v>0</v>
      </c>
      <c r="G39" s="12" t="inlineStr">
        <is>
          <t>Curaçau</t>
        </is>
      </c>
      <c r="H39" s="15" t="n">
        <v>46193</v>
      </c>
      <c r="I39" s="16">
        <f>H39</f>
        <v/>
      </c>
      <c r="J39" s="117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11" t="n">
        <v>36</v>
      </c>
      <c r="B40" s="11" t="inlineStr">
        <is>
          <t>F</t>
        </is>
      </c>
      <c r="C40" s="12" t="inlineStr">
        <is>
          <t>Tunísia</t>
        </is>
      </c>
      <c r="D40" s="13" t="n">
        <v>1</v>
      </c>
      <c r="E40" s="14" t="inlineStr">
        <is>
          <t>X</t>
        </is>
      </c>
      <c r="F40" s="13" t="n">
        <v>3</v>
      </c>
      <c r="G40" s="12" t="inlineStr">
        <is>
          <t>Japão</t>
        </is>
      </c>
      <c r="H40" s="15" t="n">
        <v>46194</v>
      </c>
      <c r="I40" s="16">
        <f>H40</f>
        <v/>
      </c>
      <c r="J40" s="117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11" t="n">
        <v>37</v>
      </c>
      <c r="B41" s="11" t="inlineStr">
        <is>
          <t>H</t>
        </is>
      </c>
      <c r="C41" s="12" t="inlineStr">
        <is>
          <t>Espanha</t>
        </is>
      </c>
      <c r="D41" s="13" t="n">
        <v>4</v>
      </c>
      <c r="E41" s="14" t="inlineStr">
        <is>
          <t>X</t>
        </is>
      </c>
      <c r="F41" s="13" t="n">
        <v>0</v>
      </c>
      <c r="G41" s="12" t="inlineStr">
        <is>
          <t>Arábia Saudita</t>
        </is>
      </c>
      <c r="H41" s="15" t="n">
        <v>46194</v>
      </c>
      <c r="I41" s="16">
        <f>H41</f>
        <v/>
      </c>
      <c r="J41" s="117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11" t="n">
        <v>38</v>
      </c>
      <c r="B42" s="11" t="inlineStr">
        <is>
          <t>G</t>
        </is>
      </c>
      <c r="C42" s="12" t="inlineStr">
        <is>
          <t>Bélgica</t>
        </is>
      </c>
      <c r="D42" s="13" t="n">
        <v>1</v>
      </c>
      <c r="E42" s="14" t="inlineStr">
        <is>
          <t>X</t>
        </is>
      </c>
      <c r="F42" s="13" t="n">
        <v>0</v>
      </c>
      <c r="G42" s="12" t="inlineStr">
        <is>
          <t>Irã</t>
        </is>
      </c>
      <c r="H42" s="15" t="n">
        <v>46194</v>
      </c>
      <c r="I42" s="16">
        <f>H42</f>
        <v/>
      </c>
      <c r="J42" s="117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11" t="n">
        <v>39</v>
      </c>
      <c r="B43" s="11" t="inlineStr">
        <is>
          <t>H</t>
        </is>
      </c>
      <c r="C43" s="12" t="inlineStr">
        <is>
          <t>Uruguai</t>
        </is>
      </c>
      <c r="D43" s="13" t="n">
        <v>3</v>
      </c>
      <c r="E43" s="14" t="inlineStr">
        <is>
          <t>X</t>
        </is>
      </c>
      <c r="F43" s="13" t="n">
        <v>0</v>
      </c>
      <c r="G43" s="12" t="inlineStr">
        <is>
          <t>Cabo Verde</t>
        </is>
      </c>
      <c r="H43" s="15" t="n">
        <v>46194</v>
      </c>
      <c r="I43" s="16">
        <f>H43</f>
        <v/>
      </c>
      <c r="J43" s="117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11" t="n">
        <v>40</v>
      </c>
      <c r="B44" s="11" t="inlineStr">
        <is>
          <t>G</t>
        </is>
      </c>
      <c r="C44" s="12" t="inlineStr">
        <is>
          <t>Nova Zelândia</t>
        </is>
      </c>
      <c r="D44" s="13" t="n">
        <v>0</v>
      </c>
      <c r="E44" s="14" t="inlineStr">
        <is>
          <t>X</t>
        </is>
      </c>
      <c r="F44" s="13" t="n">
        <v>2</v>
      </c>
      <c r="G44" s="12" t="inlineStr">
        <is>
          <t>Egito</t>
        </is>
      </c>
      <c r="H44" s="15" t="n">
        <v>46194</v>
      </c>
      <c r="I44" s="16">
        <f>H44</f>
        <v/>
      </c>
      <c r="J44" s="117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11" t="n">
        <v>41</v>
      </c>
      <c r="B45" s="11" t="inlineStr">
        <is>
          <t>I</t>
        </is>
      </c>
      <c r="C45" s="12" t="inlineStr">
        <is>
          <t>França</t>
        </is>
      </c>
      <c r="D45" s="13" t="n">
        <v>3</v>
      </c>
      <c r="E45" s="14" t="inlineStr">
        <is>
          <t>X</t>
        </is>
      </c>
      <c r="F45" s="13" t="n">
        <v>0</v>
      </c>
      <c r="G45" s="12" t="inlineStr">
        <is>
          <t>Iraque</t>
        </is>
      </c>
      <c r="H45" s="15" t="n">
        <v>46195</v>
      </c>
      <c r="I45" s="16">
        <f>H45</f>
        <v/>
      </c>
      <c r="J45" s="117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11" t="n">
        <v>42</v>
      </c>
      <c r="B46" s="11" t="inlineStr">
        <is>
          <t>I</t>
        </is>
      </c>
      <c r="C46" s="12" t="inlineStr">
        <is>
          <t>Noruega</t>
        </is>
      </c>
      <c r="D46" s="13" t="n">
        <v>2</v>
      </c>
      <c r="E46" s="14" t="inlineStr">
        <is>
          <t>X</t>
        </is>
      </c>
      <c r="F46" s="13" t="n">
        <v>2</v>
      </c>
      <c r="G46" s="12" t="inlineStr">
        <is>
          <t>Senegal</t>
        </is>
      </c>
      <c r="H46" s="15" t="n">
        <v>46195</v>
      </c>
      <c r="I46" s="16">
        <f>H46</f>
        <v/>
      </c>
      <c r="J46" s="117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11" t="n">
        <v>43</v>
      </c>
      <c r="B47" s="11" t="inlineStr">
        <is>
          <t>J</t>
        </is>
      </c>
      <c r="C47" s="12" t="inlineStr">
        <is>
          <t>Argentina</t>
        </is>
      </c>
      <c r="D47" s="13" t="n">
        <v>3</v>
      </c>
      <c r="E47" s="14" t="inlineStr">
        <is>
          <t>X</t>
        </is>
      </c>
      <c r="F47" s="13" t="n">
        <v>0</v>
      </c>
      <c r="G47" s="12" t="inlineStr">
        <is>
          <t>Áustria</t>
        </is>
      </c>
      <c r="H47" s="15" t="n">
        <v>46195</v>
      </c>
      <c r="I47" s="16">
        <f>H47</f>
        <v/>
      </c>
      <c r="J47" s="117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11" t="n">
        <v>44</v>
      </c>
      <c r="B48" s="11" t="inlineStr">
        <is>
          <t>J</t>
        </is>
      </c>
      <c r="C48" s="12" t="inlineStr">
        <is>
          <t>Jordânia</t>
        </is>
      </c>
      <c r="D48" s="13" t="n">
        <v>2</v>
      </c>
      <c r="E48" s="14" t="inlineStr">
        <is>
          <t>X</t>
        </is>
      </c>
      <c r="F48" s="13" t="n">
        <v>3</v>
      </c>
      <c r="G48" s="12" t="inlineStr">
        <is>
          <t>Argélia</t>
        </is>
      </c>
      <c r="H48" s="15" t="n">
        <v>46196</v>
      </c>
      <c r="I48" s="16">
        <f>H48</f>
        <v/>
      </c>
      <c r="J48" s="117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11" t="n">
        <v>45</v>
      </c>
      <c r="B49" s="11" t="inlineStr">
        <is>
          <t>K</t>
        </is>
      </c>
      <c r="C49" s="12" t="inlineStr">
        <is>
          <t>Portugal</t>
        </is>
      </c>
      <c r="D49" s="13" t="n">
        <v>3</v>
      </c>
      <c r="E49" s="14" t="inlineStr">
        <is>
          <t>X</t>
        </is>
      </c>
      <c r="F49" s="13" t="n">
        <v>1</v>
      </c>
      <c r="G49" s="12" t="inlineStr">
        <is>
          <t>Uzbequistão</t>
        </is>
      </c>
      <c r="H49" s="15" t="n">
        <v>46196</v>
      </c>
      <c r="I49" s="16">
        <f>H49</f>
        <v/>
      </c>
      <c r="J49" s="117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11" t="n">
        <v>46</v>
      </c>
      <c r="B50" s="11" t="inlineStr">
        <is>
          <t>L</t>
        </is>
      </c>
      <c r="C50" s="12" t="inlineStr">
        <is>
          <t>Inglaterra</t>
        </is>
      </c>
      <c r="D50" s="13" t="n">
        <v>3</v>
      </c>
      <c r="E50" s="14" t="inlineStr">
        <is>
          <t>X</t>
        </is>
      </c>
      <c r="F50" s="13" t="n">
        <v>1</v>
      </c>
      <c r="G50" s="12" t="inlineStr">
        <is>
          <t>Gana</t>
        </is>
      </c>
      <c r="H50" s="15" t="n">
        <v>46196</v>
      </c>
      <c r="I50" s="16">
        <f>H50</f>
        <v/>
      </c>
      <c r="J50" s="117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11" t="n">
        <v>47</v>
      </c>
      <c r="B51" s="11" t="inlineStr">
        <is>
          <t>L</t>
        </is>
      </c>
      <c r="C51" s="12" t="inlineStr">
        <is>
          <t>Panamá</t>
        </is>
      </c>
      <c r="D51" s="13" t="n">
        <v>0</v>
      </c>
      <c r="E51" s="14" t="inlineStr">
        <is>
          <t>X</t>
        </is>
      </c>
      <c r="F51" s="13" t="n">
        <v>4</v>
      </c>
      <c r="G51" s="12" t="inlineStr">
        <is>
          <t>Croácia</t>
        </is>
      </c>
      <c r="H51" s="15" t="n">
        <v>46196</v>
      </c>
      <c r="I51" s="16">
        <f>H51</f>
        <v/>
      </c>
      <c r="J51" s="117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11" t="n">
        <v>48</v>
      </c>
      <c r="B52" s="11" t="inlineStr">
        <is>
          <t>K</t>
        </is>
      </c>
      <c r="C52" s="12" t="inlineStr">
        <is>
          <t>Colômbia</t>
        </is>
      </c>
      <c r="D52" s="13" t="n">
        <v>2</v>
      </c>
      <c r="E52" s="14" t="inlineStr">
        <is>
          <t>X</t>
        </is>
      </c>
      <c r="F52" s="13" t="n">
        <v>0</v>
      </c>
      <c r="G52" s="12" t="inlineStr">
        <is>
          <t>RD Congo</t>
        </is>
      </c>
      <c r="H52" s="15" t="n">
        <v>46196</v>
      </c>
      <c r="I52" s="16">
        <f>H52</f>
        <v/>
      </c>
      <c r="J52" s="117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11" t="n">
        <v>49</v>
      </c>
      <c r="B53" s="11" t="inlineStr">
        <is>
          <t>B</t>
        </is>
      </c>
      <c r="C53" s="12" t="inlineStr">
        <is>
          <t>Suíça</t>
        </is>
      </c>
      <c r="D53" s="13" t="n">
        <v>2</v>
      </c>
      <c r="E53" s="14" t="inlineStr">
        <is>
          <t>X</t>
        </is>
      </c>
      <c r="F53" s="13" t="n">
        <v>0</v>
      </c>
      <c r="G53" s="12" t="inlineStr">
        <is>
          <t>Canadá</t>
        </is>
      </c>
      <c r="H53" s="15" t="n">
        <v>46197</v>
      </c>
      <c r="I53" s="16">
        <f>H53</f>
        <v/>
      </c>
      <c r="J53" s="117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11" t="n">
        <v>50</v>
      </c>
      <c r="B54" s="11" t="inlineStr">
        <is>
          <t>B</t>
        </is>
      </c>
      <c r="C54" s="12" t="inlineStr">
        <is>
          <t>Bósnia</t>
        </is>
      </c>
      <c r="D54" s="13" t="n">
        <v>1</v>
      </c>
      <c r="E54" s="14" t="inlineStr">
        <is>
          <t>X</t>
        </is>
      </c>
      <c r="F54" s="13" t="n">
        <v>1</v>
      </c>
      <c r="G54" s="12" t="inlineStr">
        <is>
          <t>Catar</t>
        </is>
      </c>
      <c r="H54" s="15" t="n">
        <v>46197</v>
      </c>
      <c r="I54" s="16">
        <f>H54</f>
        <v/>
      </c>
      <c r="J54" s="117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11" t="n">
        <v>51</v>
      </c>
      <c r="B55" s="11" t="inlineStr">
        <is>
          <t>C</t>
        </is>
      </c>
      <c r="C55" s="12" t="inlineStr">
        <is>
          <t>Escócia</t>
        </is>
      </c>
      <c r="D55" s="13" t="n">
        <v>0</v>
      </c>
      <c r="E55" s="14" t="inlineStr">
        <is>
          <t>X</t>
        </is>
      </c>
      <c r="F55" s="13" t="n">
        <v>3</v>
      </c>
      <c r="G55" s="18" t="inlineStr">
        <is>
          <t>Brasil</t>
        </is>
      </c>
      <c r="H55" s="15" t="n">
        <v>46197</v>
      </c>
      <c r="I55" s="16">
        <f>H55</f>
        <v/>
      </c>
      <c r="J55" s="117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11" t="n">
        <v>52</v>
      </c>
      <c r="B56" s="11" t="inlineStr">
        <is>
          <t>C</t>
        </is>
      </c>
      <c r="C56" s="12" t="inlineStr">
        <is>
          <t>Marrocos</t>
        </is>
      </c>
      <c r="D56" s="13" t="n">
        <v>4</v>
      </c>
      <c r="E56" s="14" t="inlineStr">
        <is>
          <t>X</t>
        </is>
      </c>
      <c r="F56" s="13" t="n">
        <v>0</v>
      </c>
      <c r="G56" s="12" t="inlineStr">
        <is>
          <t>Haiti</t>
        </is>
      </c>
      <c r="H56" s="15" t="n">
        <v>46197</v>
      </c>
      <c r="I56" s="16">
        <f>H56</f>
        <v/>
      </c>
      <c r="J56" s="117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11" t="n">
        <v>53</v>
      </c>
      <c r="B57" s="11" t="inlineStr">
        <is>
          <t>A</t>
        </is>
      </c>
      <c r="C57" s="12" t="inlineStr">
        <is>
          <t>Tchéquia</t>
        </is>
      </c>
      <c r="D57" s="13" t="n">
        <v>0</v>
      </c>
      <c r="E57" s="14" t="inlineStr">
        <is>
          <t>X</t>
        </is>
      </c>
      <c r="F57" s="13" t="n">
        <v>2</v>
      </c>
      <c r="G57" s="12" t="inlineStr">
        <is>
          <t>México</t>
        </is>
      </c>
      <c r="H57" s="15" t="n">
        <v>46197</v>
      </c>
      <c r="I57" s="16">
        <f>H57</f>
        <v/>
      </c>
      <c r="J57" s="117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11" t="n">
        <v>54</v>
      </c>
      <c r="B58" s="11" t="inlineStr">
        <is>
          <t>A</t>
        </is>
      </c>
      <c r="C58" s="12" t="inlineStr">
        <is>
          <t>África do Sul</t>
        </is>
      </c>
      <c r="D58" s="13" t="n">
        <v>0</v>
      </c>
      <c r="E58" s="14" t="inlineStr">
        <is>
          <t>X</t>
        </is>
      </c>
      <c r="F58" s="13" t="n">
        <v>3</v>
      </c>
      <c r="G58" s="12" t="inlineStr">
        <is>
          <t>Coreia do Sul</t>
        </is>
      </c>
      <c r="H58" s="15" t="n">
        <v>46197</v>
      </c>
      <c r="I58" s="16">
        <f>H58</f>
        <v/>
      </c>
      <c r="J58" s="117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11" t="n">
        <v>55</v>
      </c>
      <c r="B59" s="11" t="inlineStr">
        <is>
          <t>E</t>
        </is>
      </c>
      <c r="C59" s="12" t="inlineStr">
        <is>
          <t>Equador</t>
        </is>
      </c>
      <c r="D59" s="13" t="n">
        <v>0</v>
      </c>
      <c r="E59" s="14" t="inlineStr">
        <is>
          <t>X</t>
        </is>
      </c>
      <c r="F59" s="13" t="n">
        <v>2</v>
      </c>
      <c r="G59" s="12" t="inlineStr">
        <is>
          <t>Alemanha</t>
        </is>
      </c>
      <c r="H59" s="15" t="n">
        <v>46198</v>
      </c>
      <c r="I59" s="16">
        <f>H59</f>
        <v/>
      </c>
      <c r="J59" s="117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11" t="n">
        <v>56</v>
      </c>
      <c r="B60" s="11" t="inlineStr">
        <is>
          <t>E</t>
        </is>
      </c>
      <c r="C60" s="12" t="inlineStr">
        <is>
          <t>Curaçau</t>
        </is>
      </c>
      <c r="D60" s="13" t="n">
        <v>0</v>
      </c>
      <c r="E60" s="14" t="inlineStr">
        <is>
          <t>X</t>
        </is>
      </c>
      <c r="F60" s="13" t="n">
        <v>2</v>
      </c>
      <c r="G60" s="12" t="inlineStr">
        <is>
          <t>Costa do Marfim</t>
        </is>
      </c>
      <c r="H60" s="15" t="n">
        <v>46198</v>
      </c>
      <c r="I60" s="16">
        <f>H60</f>
        <v/>
      </c>
      <c r="J60" s="117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11" t="n">
        <v>57</v>
      </c>
      <c r="B61" s="11" t="inlineStr">
        <is>
          <t>D</t>
        </is>
      </c>
      <c r="C61" s="12" t="inlineStr">
        <is>
          <t>Turquia</t>
        </is>
      </c>
      <c r="D61" s="13" t="n">
        <v>1</v>
      </c>
      <c r="E61" s="14" t="inlineStr">
        <is>
          <t>X</t>
        </is>
      </c>
      <c r="F61" s="13" t="n">
        <v>2</v>
      </c>
      <c r="G61" s="12" t="inlineStr">
        <is>
          <t>EUA</t>
        </is>
      </c>
      <c r="H61" s="15" t="n">
        <v>46198</v>
      </c>
      <c r="I61" s="16">
        <f>H61</f>
        <v/>
      </c>
      <c r="J61" s="117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11" t="n">
        <v>58</v>
      </c>
      <c r="B62" s="11" t="inlineStr">
        <is>
          <t>D</t>
        </is>
      </c>
      <c r="C62" s="12" t="inlineStr">
        <is>
          <t>Paraguai</t>
        </is>
      </c>
      <c r="D62" s="13" t="n">
        <v>1</v>
      </c>
      <c r="E62" s="14" t="inlineStr">
        <is>
          <t>X</t>
        </is>
      </c>
      <c r="F62" s="13" t="n">
        <v>0</v>
      </c>
      <c r="G62" s="12" t="inlineStr">
        <is>
          <t>Austrália</t>
        </is>
      </c>
      <c r="H62" s="15" t="n">
        <v>46198</v>
      </c>
      <c r="I62" s="16">
        <f>H62</f>
        <v/>
      </c>
      <c r="J62" s="117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11" t="n">
        <v>59</v>
      </c>
      <c r="B63" s="11" t="inlineStr">
        <is>
          <t>F</t>
        </is>
      </c>
      <c r="C63" s="12" t="inlineStr">
        <is>
          <t>Tunísia</t>
        </is>
      </c>
      <c r="D63" s="13" t="n">
        <v>0</v>
      </c>
      <c r="E63" s="14" t="inlineStr">
        <is>
          <t>X</t>
        </is>
      </c>
      <c r="F63" s="13" t="n">
        <v>1</v>
      </c>
      <c r="G63" s="12" t="inlineStr">
        <is>
          <t>Holanda</t>
        </is>
      </c>
      <c r="H63" s="15" t="n">
        <v>46198</v>
      </c>
      <c r="I63" s="16">
        <f>H63</f>
        <v/>
      </c>
      <c r="J63" s="117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11" t="n">
        <v>60</v>
      </c>
      <c r="B64" s="11" t="inlineStr">
        <is>
          <t>F</t>
        </is>
      </c>
      <c r="C64" s="12" t="inlineStr">
        <is>
          <t>Japão</t>
        </is>
      </c>
      <c r="D64" s="13" t="n">
        <v>2</v>
      </c>
      <c r="E64" s="14" t="inlineStr">
        <is>
          <t>X</t>
        </is>
      </c>
      <c r="F64" s="13" t="n">
        <v>1</v>
      </c>
      <c r="G64" s="12" t="inlineStr">
        <is>
          <t>Suécia</t>
        </is>
      </c>
      <c r="H64" s="15" t="n">
        <v>46198</v>
      </c>
      <c r="I64" s="16">
        <f>H64</f>
        <v/>
      </c>
      <c r="J64" s="117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11" t="n">
        <v>61</v>
      </c>
      <c r="B65" s="11" t="inlineStr">
        <is>
          <t>I</t>
        </is>
      </c>
      <c r="C65" s="12" t="inlineStr">
        <is>
          <t>Noruega</t>
        </is>
      </c>
      <c r="D65" s="13" t="n">
        <v>1</v>
      </c>
      <c r="E65" s="14" t="inlineStr">
        <is>
          <t>X</t>
        </is>
      </c>
      <c r="F65" s="13" t="n">
        <v>2</v>
      </c>
      <c r="G65" s="12" t="inlineStr">
        <is>
          <t>França</t>
        </is>
      </c>
      <c r="H65" s="15" t="n">
        <v>46199</v>
      </c>
      <c r="I65" s="16">
        <f>H65</f>
        <v/>
      </c>
      <c r="J65" s="117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11" t="n">
        <v>62</v>
      </c>
      <c r="B66" s="11" t="inlineStr">
        <is>
          <t>I</t>
        </is>
      </c>
      <c r="C66" s="12" t="inlineStr">
        <is>
          <t>Senegal</t>
        </is>
      </c>
      <c r="D66" s="13" t="n">
        <v>3</v>
      </c>
      <c r="E66" s="14" t="inlineStr">
        <is>
          <t>X</t>
        </is>
      </c>
      <c r="F66" s="13" t="n">
        <v>1</v>
      </c>
      <c r="G66" s="12" t="inlineStr">
        <is>
          <t>Iraque</t>
        </is>
      </c>
      <c r="H66" s="15" t="n">
        <v>46199</v>
      </c>
      <c r="I66" s="16">
        <f>H66</f>
        <v/>
      </c>
      <c r="J66" s="117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11" t="n">
        <v>63</v>
      </c>
      <c r="B67" s="11" t="inlineStr">
        <is>
          <t>H</t>
        </is>
      </c>
      <c r="C67" s="12" t="inlineStr">
        <is>
          <t>Uruguai</t>
        </is>
      </c>
      <c r="D67" s="13" t="n">
        <v>1</v>
      </c>
      <c r="E67" s="14" t="inlineStr">
        <is>
          <t>X</t>
        </is>
      </c>
      <c r="F67" s="13" t="n">
        <v>2</v>
      </c>
      <c r="G67" s="12" t="inlineStr">
        <is>
          <t>Espanha</t>
        </is>
      </c>
      <c r="H67" s="15" t="n">
        <v>46199</v>
      </c>
      <c r="I67" s="16">
        <f>H67</f>
        <v/>
      </c>
      <c r="J67" s="117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11" t="n">
        <v>64</v>
      </c>
      <c r="B68" s="11" t="inlineStr">
        <is>
          <t>H</t>
        </is>
      </c>
      <c r="C68" s="12" t="inlineStr">
        <is>
          <t>Cabo Verde</t>
        </is>
      </c>
      <c r="D68" s="13" t="n">
        <v>2</v>
      </c>
      <c r="E68" s="14" t="inlineStr">
        <is>
          <t>X</t>
        </is>
      </c>
      <c r="F68" s="13" t="n">
        <v>2</v>
      </c>
      <c r="G68" s="12" t="inlineStr">
        <is>
          <t>Arábia Saudita</t>
        </is>
      </c>
      <c r="H68" s="15" t="n">
        <v>46199</v>
      </c>
      <c r="I68" s="16">
        <f>H68</f>
        <v/>
      </c>
      <c r="J68" s="117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11" t="n">
        <v>65</v>
      </c>
      <c r="B69" s="11" t="inlineStr">
        <is>
          <t>G</t>
        </is>
      </c>
      <c r="C69" s="12" t="inlineStr">
        <is>
          <t>Egito</t>
        </is>
      </c>
      <c r="D69" s="13" t="n">
        <v>3</v>
      </c>
      <c r="E69" s="14" t="inlineStr">
        <is>
          <t>X</t>
        </is>
      </c>
      <c r="F69" s="13" t="n">
        <v>2</v>
      </c>
      <c r="G69" s="12" t="inlineStr">
        <is>
          <t>Irã</t>
        </is>
      </c>
      <c r="H69" s="15" t="n">
        <v>46199</v>
      </c>
      <c r="I69" s="16">
        <f>H69</f>
        <v/>
      </c>
      <c r="J69" s="117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11" t="n">
        <v>66</v>
      </c>
      <c r="B70" s="11" t="inlineStr">
        <is>
          <t>G</t>
        </is>
      </c>
      <c r="C70" s="12" t="inlineStr">
        <is>
          <t>Nova Zelândia</t>
        </is>
      </c>
      <c r="D70" s="13" t="n">
        <v>0</v>
      </c>
      <c r="E70" s="14" t="inlineStr">
        <is>
          <t>X</t>
        </is>
      </c>
      <c r="F70" s="13" t="n">
        <v>3</v>
      </c>
      <c r="G70" s="12" t="inlineStr">
        <is>
          <t>Bélgica</t>
        </is>
      </c>
      <c r="H70" s="15" t="n">
        <v>46199</v>
      </c>
      <c r="I70" s="16">
        <f>H70</f>
        <v/>
      </c>
      <c r="J70" s="117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11" t="n">
        <v>67</v>
      </c>
      <c r="B71" s="11" t="inlineStr">
        <is>
          <t>J</t>
        </is>
      </c>
      <c r="C71" s="12" t="inlineStr">
        <is>
          <t>Argélia</t>
        </is>
      </c>
      <c r="D71" s="13" t="n">
        <v>2</v>
      </c>
      <c r="E71" s="14" t="inlineStr">
        <is>
          <t>X</t>
        </is>
      </c>
      <c r="F71" s="13" t="n">
        <v>1</v>
      </c>
      <c r="G71" s="12" t="inlineStr">
        <is>
          <t>Áustria</t>
        </is>
      </c>
      <c r="H71" s="15" t="n">
        <v>46200</v>
      </c>
      <c r="I71" s="16">
        <f>H71</f>
        <v/>
      </c>
      <c r="J71" s="117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11" t="n">
        <v>68</v>
      </c>
      <c r="B72" s="11" t="inlineStr">
        <is>
          <t>J</t>
        </is>
      </c>
      <c r="C72" s="12" t="inlineStr">
        <is>
          <t>Jordânia</t>
        </is>
      </c>
      <c r="D72" s="13" t="n">
        <v>0</v>
      </c>
      <c r="E72" s="14" t="inlineStr">
        <is>
          <t>X</t>
        </is>
      </c>
      <c r="F72" s="13" t="n">
        <v>4</v>
      </c>
      <c r="G72" s="12" t="inlineStr">
        <is>
          <t>Argentina</t>
        </is>
      </c>
      <c r="H72" s="15" t="n">
        <v>46200</v>
      </c>
      <c r="I72" s="16">
        <f>H72</f>
        <v/>
      </c>
      <c r="J72" s="117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11" t="n">
        <v>69</v>
      </c>
      <c r="B73" s="11" t="inlineStr">
        <is>
          <t>L</t>
        </is>
      </c>
      <c r="C73" s="12" t="inlineStr">
        <is>
          <t>Panamá</t>
        </is>
      </c>
      <c r="D73" s="13" t="n">
        <v>0</v>
      </c>
      <c r="E73" s="14" t="inlineStr">
        <is>
          <t>X</t>
        </is>
      </c>
      <c r="F73" s="13" t="n">
        <v>5</v>
      </c>
      <c r="G73" s="12" t="inlineStr">
        <is>
          <t>Inglaterra</t>
        </is>
      </c>
      <c r="H73" s="15" t="n">
        <v>46200</v>
      </c>
      <c r="I73" s="16">
        <f>H73</f>
        <v/>
      </c>
      <c r="J73" s="117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11" t="n">
        <v>70</v>
      </c>
      <c r="B74" s="11" t="inlineStr">
        <is>
          <t>L</t>
        </is>
      </c>
      <c r="C74" s="12" t="inlineStr">
        <is>
          <t>Croácia</t>
        </is>
      </c>
      <c r="D74" s="13" t="n">
        <v>2</v>
      </c>
      <c r="E74" s="14" t="inlineStr">
        <is>
          <t>X</t>
        </is>
      </c>
      <c r="F74" s="13" t="n">
        <v>1</v>
      </c>
      <c r="G74" s="12" t="inlineStr">
        <is>
          <t>Gana</t>
        </is>
      </c>
      <c r="H74" s="15" t="n">
        <v>46200</v>
      </c>
      <c r="I74" s="16">
        <f>H74</f>
        <v/>
      </c>
      <c r="J74" s="117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11" t="n">
        <v>71</v>
      </c>
      <c r="B75" s="11" t="inlineStr">
        <is>
          <t>K</t>
        </is>
      </c>
      <c r="C75" s="12" t="inlineStr">
        <is>
          <t>RD Congo</t>
        </is>
      </c>
      <c r="D75" s="13" t="n">
        <v>2</v>
      </c>
      <c r="E75" s="14" t="inlineStr">
        <is>
          <t>X</t>
        </is>
      </c>
      <c r="F75" s="13" t="n">
        <v>2</v>
      </c>
      <c r="G75" s="12" t="inlineStr">
        <is>
          <t>Uzbequistão</t>
        </is>
      </c>
      <c r="H75" s="15" t="n">
        <v>46200</v>
      </c>
      <c r="I75" s="16">
        <f>H75</f>
        <v/>
      </c>
      <c r="J75" s="117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11" t="n">
        <v>72</v>
      </c>
      <c r="B76" s="11" t="inlineStr">
        <is>
          <t>K</t>
        </is>
      </c>
      <c r="C76" s="12" t="inlineStr">
        <is>
          <t>Colômbia</t>
        </is>
      </c>
      <c r="D76" s="13" t="n">
        <v>2</v>
      </c>
      <c r="E76" s="14" t="inlineStr">
        <is>
          <t>X</t>
        </is>
      </c>
      <c r="F76" s="13" t="n">
        <v>2</v>
      </c>
      <c r="G76" s="12" t="inlineStr">
        <is>
          <t>Portugal</t>
        </is>
      </c>
      <c r="H76" s="15" t="n">
        <v>46200</v>
      </c>
      <c r="I76" s="16">
        <f>H76</f>
        <v/>
      </c>
      <c r="J76" s="117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E77" t="inlineStr">
        <is>
          <t>X</t>
        </is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3</v>
      </c>
      <c r="E78" t="inlineStr">
        <is>
          <t>X</t>
        </is>
      </c>
      <c r="F78" t="n">
        <v>0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0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2</v>
      </c>
      <c r="E79" t="inlineStr">
        <is>
          <t>X</t>
        </is>
      </c>
      <c r="F79" t="n">
        <v>2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2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2</v>
      </c>
      <c r="E80" t="inlineStr">
        <is>
          <t>X</t>
        </is>
      </c>
      <c r="F80" t="n">
        <v>1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1</v>
      </c>
      <c r="E82" t="inlineStr">
        <is>
          <t>X</t>
        </is>
      </c>
      <c r="F82" t="n">
        <v>1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1</v>
      </c>
      <c r="E83" t="inlineStr">
        <is>
          <t>X</t>
        </is>
      </c>
      <c r="F83" t="n">
        <v>0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3</v>
      </c>
      <c r="E84" t="inlineStr">
        <is>
          <t>X</t>
        </is>
      </c>
      <c r="F84" t="n">
        <v>0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2</v>
      </c>
      <c r="E85" t="inlineStr">
        <is>
          <t>X</t>
        </is>
      </c>
      <c r="F85" t="n">
        <v>0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0</v>
      </c>
      <c r="E86" t="inlineStr">
        <is>
          <t>X</t>
        </is>
      </c>
      <c r="F86" t="n">
        <v>1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2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3</v>
      </c>
      <c r="E88" t="inlineStr">
        <is>
          <t>X</t>
        </is>
      </c>
      <c r="F88" t="n">
        <v>0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1</v>
      </c>
      <c r="E89" t="inlineStr">
        <is>
          <t>X</t>
        </is>
      </c>
      <c r="F89" t="n">
        <v>0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3</v>
      </c>
      <c r="E90" t="inlineStr">
        <is>
          <t>X</t>
        </is>
      </c>
      <c r="F90" t="n">
        <v>0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2</v>
      </c>
      <c r="E91" t="inlineStr">
        <is>
          <t>X</t>
        </is>
      </c>
      <c r="F91" t="n">
        <v>0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2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3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0</v>
      </c>
      <c r="E93" t="inlineStr">
        <is>
          <t>X</t>
        </is>
      </c>
      <c r="F93" t="n">
        <v>3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0</v>
      </c>
      <c r="E94" t="inlineStr">
        <is>
          <t>X</t>
        </is>
      </c>
      <c r="F94" t="n">
        <v>3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3</v>
      </c>
      <c r="E95" t="inlineStr">
        <is>
          <t>X</t>
        </is>
      </c>
      <c r="F95" t="n">
        <v>1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0</v>
      </c>
      <c r="E96" t="inlineStr">
        <is>
          <t>X</t>
        </is>
      </c>
      <c r="F96" t="n">
        <v>0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2</v>
      </c>
      <c r="E97" t="inlineStr">
        <is>
          <t>X</t>
        </is>
      </c>
      <c r="F97" t="n">
        <v>3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2</v>
      </c>
      <c r="E98" t="inlineStr">
        <is>
          <t>X</t>
        </is>
      </c>
      <c r="F98" t="n">
        <v>0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1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D100" t="n">
        <v>0</v>
      </c>
      <c r="E100" t="inlineStr">
        <is>
          <t>X</t>
        </is>
      </c>
      <c r="F100" t="n">
        <v>1</v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1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D101" t="n">
        <v>1</v>
      </c>
      <c r="E101" t="inlineStr">
        <is>
          <t>X</t>
        </is>
      </c>
      <c r="F101" t="n">
        <v>0</v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D102" t="n">
        <v>3</v>
      </c>
      <c r="E102" t="inlineStr">
        <is>
          <t>X</t>
        </is>
      </c>
      <c r="F102" t="n">
        <v>0</v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D103" t="n">
        <v>1</v>
      </c>
      <c r="E103" t="inlineStr">
        <is>
          <t>X</t>
        </is>
      </c>
      <c r="F103" t="n">
        <v>3</v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D104" t="n">
        <v>2</v>
      </c>
      <c r="E104" t="inlineStr">
        <is>
          <t>X</t>
        </is>
      </c>
      <c r="F104" t="n">
        <v>0</v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D105" t="n">
        <v>2</v>
      </c>
      <c r="E105" t="inlineStr">
        <is>
          <t>X</t>
        </is>
      </c>
      <c r="F105" t="n">
        <v>1</v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D106" t="n">
        <v>2</v>
      </c>
      <c r="E106" t="inlineStr">
        <is>
          <t>X</t>
        </is>
      </c>
      <c r="F106" t="n">
        <v>2</v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D107" t="n">
        <v>2</v>
      </c>
      <c r="E107" t="inlineStr">
        <is>
          <t>X</t>
        </is>
      </c>
      <c r="F107" t="n">
        <v>1</v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D108" t="n">
        <v>2</v>
      </c>
      <c r="E108" t="inlineStr">
        <is>
          <t>X</t>
        </is>
      </c>
      <c r="F108" t="n">
        <v>1</v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7">
    <mergeCell ref="F1:I1"/>
    <mergeCell ref="G3:J3"/>
    <mergeCell ref="B3:C3"/>
    <mergeCell ref="A1:E1"/>
    <mergeCell ref="D3:F3"/>
    <mergeCell ref="H4:I4"/>
    <mergeCell ref="B2:J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opLeftCell="A42" workbookViewId="0">
      <selection activeCell="K5" sqref="K5:K76"/>
    </sheetView>
  </sheetViews>
  <sheetFormatPr baseColWidth="8" defaultRowHeight="12.75"/>
  <sheetData>
    <row r="1" ht="21.75" customHeight="1" thickBot="1">
      <c r="A1" s="92" t="inlineStr">
        <is>
          <t>COPA 2026 - TABELA DE APOSTAS</t>
        </is>
      </c>
      <c r="B1" s="114" t="n"/>
      <c r="C1" s="114" t="n"/>
      <c r="D1" s="114" t="n"/>
      <c r="E1" s="97" t="n"/>
      <c r="F1" s="85" t="inlineStr">
        <is>
          <t xml:space="preserve">Pagamento = Pix </t>
        </is>
      </c>
      <c r="G1" s="114" t="n"/>
      <c r="H1" s="114" t="n"/>
      <c r="I1" s="114" t="n"/>
      <c r="J1" s="119" t="n">
        <v>50</v>
      </c>
    </row>
    <row r="2" ht="19.5" customHeight="1" thickBot="1">
      <c r="A2" s="48" t="inlineStr">
        <is>
          <t>Nome:</t>
        </is>
      </c>
      <c r="B2" s="94" t="n"/>
      <c r="C2" s="114" t="n"/>
      <c r="D2" s="114" t="n"/>
      <c r="E2" s="114" t="n"/>
      <c r="F2" s="114" t="n"/>
      <c r="G2" s="114" t="n"/>
      <c r="H2" s="114" t="n"/>
      <c r="I2" s="114" t="n"/>
      <c r="J2" s="97" t="n"/>
    </row>
    <row r="3" ht="19.5" customHeight="1" thickBot="1">
      <c r="A3" s="49" t="inlineStr">
        <is>
          <t>Celular:</t>
        </is>
      </c>
      <c r="B3" s="90" t="n"/>
      <c r="C3" s="97" t="n"/>
      <c r="D3" s="93" t="inlineStr">
        <is>
          <t xml:space="preserve">e-mail: </t>
        </is>
      </c>
      <c r="E3" s="115" t="n"/>
      <c r="F3" s="103" t="n"/>
      <c r="G3" s="87" t="n"/>
      <c r="H3" s="115" t="n"/>
      <c r="I3" s="115" t="n"/>
      <c r="J3" s="103" t="n"/>
    </row>
    <row r="4">
      <c r="A4" s="34" t="inlineStr">
        <is>
          <t>JOGOS</t>
        </is>
      </c>
      <c r="B4" s="45" t="inlineStr">
        <is>
          <t>GRUPO</t>
        </is>
      </c>
      <c r="C4" s="35" t="n"/>
      <c r="D4" s="36" t="n"/>
      <c r="E4" s="36" t="n"/>
      <c r="F4" s="36" t="n"/>
      <c r="G4" s="37" t="n"/>
      <c r="H4" s="38" t="inlineStr">
        <is>
          <t>DIA</t>
        </is>
      </c>
      <c r="I4" s="37" t="n"/>
      <c r="J4" s="39" t="inlineStr">
        <is>
          <t>HORA</t>
        </is>
      </c>
    </row>
    <row r="5" ht="15" customHeight="1">
      <c r="A5" s="40" t="n">
        <v>1</v>
      </c>
      <c r="B5" s="40" t="inlineStr">
        <is>
          <t>A</t>
        </is>
      </c>
      <c r="C5" s="46" t="inlineStr">
        <is>
          <t>México</t>
        </is>
      </c>
      <c r="D5" s="41" t="n"/>
      <c r="E5" s="33" t="inlineStr">
        <is>
          <t>X</t>
        </is>
      </c>
      <c r="F5" s="41" t="n"/>
      <c r="G5" s="46" t="inlineStr">
        <is>
          <t>África do Sul</t>
        </is>
      </c>
      <c r="H5" s="42" t="n">
        <v>46184</v>
      </c>
      <c r="I5" s="43" t="n">
        <v>46184</v>
      </c>
      <c r="J5" s="44" t="n">
        <v>0.6666666666666666</v>
      </c>
      <c r="K5">
        <f>IF(AND(ISNUMBER(D5),ISNUMBER(F5),ISNUMBER(Resultados!D5),ISNUMBER(Resultados!F5)),IF(SIGN(D5-F5)=SIGN(Resultados!D5-Resultados!F5),2,0)+IF(D5=Resultados!D5,1,0)+IF(F5=Resultados!F5,1,0)+IF(D5+F5=Resultados!D5+Resultados!F5,1,0),0)</f>
        <v/>
      </c>
    </row>
    <row r="6" ht="15" customHeight="1">
      <c r="A6" s="40" t="n">
        <v>2</v>
      </c>
      <c r="B6" s="40" t="inlineStr">
        <is>
          <t>A</t>
        </is>
      </c>
      <c r="C6" s="46" t="inlineStr">
        <is>
          <t>Coreia do Sul</t>
        </is>
      </c>
      <c r="D6" s="41" t="n"/>
      <c r="E6" s="33" t="inlineStr">
        <is>
          <t>X</t>
        </is>
      </c>
      <c r="F6" s="41" t="n"/>
      <c r="G6" s="46" t="inlineStr">
        <is>
          <t>Tchéquia</t>
        </is>
      </c>
      <c r="H6" s="42" t="n">
        <v>46184</v>
      </c>
      <c r="I6" s="43" t="n">
        <v>46184</v>
      </c>
      <c r="J6" s="44" t="n">
        <v>0.9583333333333334</v>
      </c>
      <c r="K6">
        <f>IF(AND(ISNUMBER(D6),ISNUMBER(F6),ISNUMBER(Resultados!D6),ISNUMBER(Resultados!F6)),IF(SIGN(D6-F6)=SIGN(Resultados!D6-Resultados!F6),2,0)+IF(D6=Resultados!D6,1,0)+IF(F6=Resultados!F6,1,0)+IF(D6+F6=Resultados!D6+Resultados!F6,1,0),0)</f>
        <v/>
      </c>
    </row>
    <row r="7" ht="15" customHeight="1">
      <c r="A7" s="40" t="n">
        <v>3</v>
      </c>
      <c r="B7" s="40" t="inlineStr">
        <is>
          <t>B</t>
        </is>
      </c>
      <c r="C7" s="46" t="inlineStr">
        <is>
          <t>Canadá</t>
        </is>
      </c>
      <c r="D7" s="41" t="n"/>
      <c r="E7" s="33" t="inlineStr">
        <is>
          <t>X</t>
        </is>
      </c>
      <c r="F7" s="41" t="n"/>
      <c r="G7" s="46" t="inlineStr">
        <is>
          <t>Bósnia</t>
        </is>
      </c>
      <c r="H7" s="42" t="n">
        <v>46185</v>
      </c>
      <c r="I7" s="43" t="n">
        <v>46185</v>
      </c>
      <c r="J7" s="44" t="n">
        <v>0.6666666666666666</v>
      </c>
      <c r="K7">
        <f>IF(AND(ISNUMBER(D7),ISNUMBER(F7),ISNUMBER(Resultados!D7),ISNUMBER(Resultados!F7)),IF(SIGN(D7-F7)=SIGN(Resultados!D7-Resultados!F7),2,0)+IF(D7=Resultados!D7,1,0)+IF(F7=Resultados!F7,1,0)+IF(D7+F7=Resultados!D7+Resultados!F7,1,0),0)</f>
        <v/>
      </c>
    </row>
    <row r="8" ht="15" customHeight="1">
      <c r="A8" s="40" t="n">
        <v>4</v>
      </c>
      <c r="B8" s="40" t="inlineStr">
        <is>
          <t>D</t>
        </is>
      </c>
      <c r="C8" s="46" t="inlineStr">
        <is>
          <t>EUA</t>
        </is>
      </c>
      <c r="D8" s="41" t="n"/>
      <c r="E8" s="33" t="inlineStr">
        <is>
          <t>X</t>
        </is>
      </c>
      <c r="F8" s="41" t="n"/>
      <c r="G8" s="46" t="inlineStr">
        <is>
          <t>Paraguai</t>
        </is>
      </c>
      <c r="H8" s="42" t="n">
        <v>46185</v>
      </c>
      <c r="I8" s="43" t="n">
        <v>46185</v>
      </c>
      <c r="J8" s="44" t="n">
        <v>0.9166666666666666</v>
      </c>
      <c r="K8">
        <f>IF(AND(ISNUMBER(D8),ISNUMBER(F8),ISNUMBER(Resultados!D8),ISNUMBER(Resultados!F8)),IF(SIGN(D8-F8)=SIGN(Resultados!D8-Resultados!F8),2,0)+IF(D8=Resultados!D8,1,0)+IF(F8=Resultados!F8,1,0)+IF(D8+F8=Resultados!D8+Resultados!F8,1,0),0)</f>
        <v/>
      </c>
    </row>
    <row r="9" ht="15" customHeight="1">
      <c r="A9" s="40" t="n">
        <v>5</v>
      </c>
      <c r="B9" s="40" t="inlineStr">
        <is>
          <t>D</t>
        </is>
      </c>
      <c r="C9" s="46" t="inlineStr">
        <is>
          <t>Austrália</t>
        </is>
      </c>
      <c r="D9" s="41" t="n"/>
      <c r="E9" s="33" t="inlineStr">
        <is>
          <t>X</t>
        </is>
      </c>
      <c r="F9" s="41" t="n"/>
      <c r="G9" s="46" t="inlineStr">
        <is>
          <t>Turquia</t>
        </is>
      </c>
      <c r="H9" s="42" t="n">
        <v>46186</v>
      </c>
      <c r="I9" s="43" t="n">
        <v>46186</v>
      </c>
      <c r="J9" s="44" t="n">
        <v>0.04166666666666666</v>
      </c>
      <c r="K9">
        <f>IF(AND(ISNUMBER(D9),ISNUMBER(F9),ISNUMBER(Resultados!D9),ISNUMBER(Resultados!F9)),IF(SIGN(D9-F9)=SIGN(Resultados!D9-Resultados!F9),2,0)+IF(D9=Resultados!D9,1,0)+IF(F9=Resultados!F9,1,0)+IF(D9+F9=Resultados!D9+Resultados!F9,1,0),0)</f>
        <v/>
      </c>
    </row>
    <row r="10" ht="15" customHeight="1">
      <c r="A10" s="40" t="n">
        <v>6</v>
      </c>
      <c r="B10" s="40" t="inlineStr">
        <is>
          <t>B</t>
        </is>
      </c>
      <c r="C10" s="46" t="inlineStr">
        <is>
          <t>Catar</t>
        </is>
      </c>
      <c r="D10" s="41" t="n"/>
      <c r="E10" s="33" t="inlineStr">
        <is>
          <t>X</t>
        </is>
      </c>
      <c r="F10" s="41" t="n"/>
      <c r="G10" s="46" t="inlineStr">
        <is>
          <t>Suíça</t>
        </is>
      </c>
      <c r="H10" s="42" t="n">
        <v>46186</v>
      </c>
      <c r="I10" s="43" t="n">
        <v>46186</v>
      </c>
      <c r="J10" s="44" t="n">
        <v>0.6666666666666666</v>
      </c>
      <c r="K10">
        <f>IF(AND(ISNUMBER(D10),ISNUMBER(F10),ISNUMBER(Resultados!D10),ISNUMBER(Resultados!F10)),IF(SIGN(D10-F10)=SIGN(Resultados!D10-Resultados!F10),2,0)+IF(D10=Resultados!D10,1,0)+IF(F10=Resultados!F10,1,0)+IF(D10+F10=Resultados!D10+Resultados!F10,1,0),0)</f>
        <v/>
      </c>
    </row>
    <row r="11" ht="15" customHeight="1">
      <c r="A11" s="40" t="n">
        <v>7</v>
      </c>
      <c r="B11" s="40" t="inlineStr">
        <is>
          <t>C</t>
        </is>
      </c>
      <c r="C11" s="47" t="inlineStr">
        <is>
          <t>Brasil</t>
        </is>
      </c>
      <c r="D11" s="41" t="n"/>
      <c r="E11" s="33" t="inlineStr">
        <is>
          <t>X</t>
        </is>
      </c>
      <c r="F11" s="41" t="n"/>
      <c r="G11" s="46" t="inlineStr">
        <is>
          <t>Marrocos</t>
        </is>
      </c>
      <c r="H11" s="42" t="n">
        <v>46186</v>
      </c>
      <c r="I11" s="43" t="n">
        <v>46186</v>
      </c>
      <c r="J11" s="44" t="n">
        <v>0.7916666666666666</v>
      </c>
      <c r="K11">
        <f>IF(AND(ISNUMBER(D11),ISNUMBER(F11),ISNUMBER(Resultados!D11),ISNUMBER(Resultados!F11)),IF(SIGN(D11-F11)=SIGN(Resultados!D11-Resultados!F11),2,0)+IF(D11=Resultados!D11,1,0)+IF(F11=Resultados!F11,1,0)+IF(D11+F11=Resultados!D11+Resultados!F11,1,0),0)</f>
        <v/>
      </c>
    </row>
    <row r="12" ht="15" customHeight="1">
      <c r="A12" s="40" t="n">
        <v>8</v>
      </c>
      <c r="B12" s="40" t="inlineStr">
        <is>
          <t>C</t>
        </is>
      </c>
      <c r="C12" s="46" t="inlineStr">
        <is>
          <t>Haiti</t>
        </is>
      </c>
      <c r="D12" s="41" t="n"/>
      <c r="E12" s="33" t="inlineStr">
        <is>
          <t>X</t>
        </is>
      </c>
      <c r="F12" s="41" t="n"/>
      <c r="G12" s="46" t="inlineStr">
        <is>
          <t>Escócia</t>
        </is>
      </c>
      <c r="H12" s="42" t="n">
        <v>46186</v>
      </c>
      <c r="I12" s="43" t="n">
        <v>46186</v>
      </c>
      <c r="J12" s="44" t="n">
        <v>0.9166666666666666</v>
      </c>
      <c r="K12">
        <f>IF(AND(ISNUMBER(D12),ISNUMBER(F12),ISNUMBER(Resultados!D12),ISNUMBER(Resultados!F12)),IF(SIGN(D12-F12)=SIGN(Resultados!D12-Resultados!F12),2,0)+IF(D12=Resultados!D12,1,0)+IF(F12=Resultados!F12,1,0)+IF(D12+F12=Resultados!D12+Resultados!F12,1,0),0)</f>
        <v/>
      </c>
    </row>
    <row r="13" ht="15" customHeight="1">
      <c r="A13" s="40" t="n">
        <v>9</v>
      </c>
      <c r="B13" s="40" t="inlineStr">
        <is>
          <t>E</t>
        </is>
      </c>
      <c r="C13" s="46" t="inlineStr">
        <is>
          <t>Alemanha</t>
        </is>
      </c>
      <c r="D13" s="41" t="n"/>
      <c r="E13" s="33" t="inlineStr">
        <is>
          <t>X</t>
        </is>
      </c>
      <c r="F13" s="41" t="n"/>
      <c r="G13" s="46" t="inlineStr">
        <is>
          <t>Curaçau</t>
        </is>
      </c>
      <c r="H13" s="42" t="n">
        <v>46187</v>
      </c>
      <c r="I13" s="43" t="n">
        <v>46187</v>
      </c>
      <c r="J13" s="44" t="n">
        <v>0.5833333333333334</v>
      </c>
      <c r="K13">
        <f>IF(AND(ISNUMBER(D13),ISNUMBER(F13),ISNUMBER(Resultados!D13),ISNUMBER(Resultados!F13)),IF(SIGN(D13-F13)=SIGN(Resultados!D13-Resultados!F13),2,0)+IF(D13=Resultados!D13,1,0)+IF(F13=Resultados!F13,1,0)+IF(D13+F13=Resultados!D13+Resultados!F13,1,0),0)</f>
        <v/>
      </c>
    </row>
    <row r="14" ht="15" customHeight="1">
      <c r="A14" s="40" t="n">
        <v>10</v>
      </c>
      <c r="B14" s="40" t="inlineStr">
        <is>
          <t>F</t>
        </is>
      </c>
      <c r="C14" s="46" t="inlineStr">
        <is>
          <t>Holanda</t>
        </is>
      </c>
      <c r="D14" s="41" t="n"/>
      <c r="E14" s="33" t="inlineStr">
        <is>
          <t>X</t>
        </is>
      </c>
      <c r="F14" s="41" t="n"/>
      <c r="G14" s="46" t="inlineStr">
        <is>
          <t>Japão</t>
        </is>
      </c>
      <c r="H14" s="42" t="n">
        <v>46187</v>
      </c>
      <c r="I14" s="43" t="n">
        <v>46187</v>
      </c>
      <c r="J14" s="44" t="n">
        <v>0.7083333333333334</v>
      </c>
      <c r="K14">
        <f>IF(AND(ISNUMBER(D14),ISNUMBER(F14),ISNUMBER(Resultados!D14),ISNUMBER(Resultados!F14)),IF(SIGN(D14-F14)=SIGN(Resultados!D14-Resultados!F14),2,0)+IF(D14=Resultados!D14,1,0)+IF(F14=Resultados!F14,1,0)+IF(D14+F14=Resultados!D14+Resultados!F14,1,0),0)</f>
        <v/>
      </c>
    </row>
    <row r="15" ht="15" customHeight="1">
      <c r="A15" s="40" t="n">
        <v>11</v>
      </c>
      <c r="B15" s="40" t="inlineStr">
        <is>
          <t>E</t>
        </is>
      </c>
      <c r="C15" s="46" t="inlineStr">
        <is>
          <t>Costa do Marfim</t>
        </is>
      </c>
      <c r="D15" s="41" t="n"/>
      <c r="E15" s="33" t="inlineStr">
        <is>
          <t>X</t>
        </is>
      </c>
      <c r="F15" s="41" t="n"/>
      <c r="G15" s="46" t="inlineStr">
        <is>
          <t>Equador</t>
        </is>
      </c>
      <c r="H15" s="42" t="n">
        <v>46187</v>
      </c>
      <c r="I15" s="43" t="n">
        <v>46187</v>
      </c>
      <c r="J15" s="44" t="n">
        <v>0.8333333333333334</v>
      </c>
      <c r="K15">
        <f>IF(AND(ISNUMBER(D15),ISNUMBER(F15),ISNUMBER(Resultados!D15),ISNUMBER(Resultados!F15)),IF(SIGN(D15-F15)=SIGN(Resultados!D15-Resultados!F15),2,0)+IF(D15=Resultados!D15,1,0)+IF(F15=Resultados!F15,1,0)+IF(D15+F15=Resultados!D15+Resultados!F15,1,0),0)</f>
        <v/>
      </c>
    </row>
    <row r="16" ht="15" customHeight="1">
      <c r="A16" s="40" t="n">
        <v>12</v>
      </c>
      <c r="B16" s="40" t="inlineStr">
        <is>
          <t>F</t>
        </is>
      </c>
      <c r="C16" s="46" t="inlineStr">
        <is>
          <t>Suécia</t>
        </is>
      </c>
      <c r="D16" s="41" t="n"/>
      <c r="E16" s="33" t="inlineStr">
        <is>
          <t>X</t>
        </is>
      </c>
      <c r="F16" s="41" t="n"/>
      <c r="G16" s="46" t="inlineStr">
        <is>
          <t>Tunísia</t>
        </is>
      </c>
      <c r="H16" s="42" t="n">
        <v>46187</v>
      </c>
      <c r="I16" s="43" t="n">
        <v>46187</v>
      </c>
      <c r="J16" s="44" t="n">
        <v>0.9583333333333334</v>
      </c>
      <c r="K16">
        <f>IF(AND(ISNUMBER(D16),ISNUMBER(F16),ISNUMBER(Resultados!D16),ISNUMBER(Resultados!F16)),IF(SIGN(D16-F16)=SIGN(Resultados!D16-Resultados!F16),2,0)+IF(D16=Resultados!D16,1,0)+IF(F16=Resultados!F16,1,0)+IF(D16+F16=Resultados!D16+Resultados!F16,1,0),0)</f>
        <v/>
      </c>
    </row>
    <row r="17" ht="15" customHeight="1">
      <c r="A17" s="40" t="n">
        <v>13</v>
      </c>
      <c r="B17" s="40" t="inlineStr">
        <is>
          <t>H</t>
        </is>
      </c>
      <c r="C17" s="46" t="inlineStr">
        <is>
          <t>Espanha</t>
        </is>
      </c>
      <c r="D17" s="41" t="n"/>
      <c r="E17" s="33" t="inlineStr">
        <is>
          <t>X</t>
        </is>
      </c>
      <c r="F17" s="41" t="n"/>
      <c r="G17" s="46" t="inlineStr">
        <is>
          <t>Cabo Verde</t>
        </is>
      </c>
      <c r="H17" s="42" t="n">
        <v>46188</v>
      </c>
      <c r="I17" s="43" t="n">
        <v>46188</v>
      </c>
      <c r="J17" s="44" t="n">
        <v>0.5416666666666666</v>
      </c>
      <c r="K17">
        <f>IF(AND(ISNUMBER(D17),ISNUMBER(F17),ISNUMBER(Resultados!D17),ISNUMBER(Resultados!F17)),IF(SIGN(D17-F17)=SIGN(Resultados!D17-Resultados!F17),2,0)+IF(D17=Resultados!D17,1,0)+IF(F17=Resultados!F17,1,0)+IF(D17+F17=Resultados!D17+Resultados!F17,1,0),0)</f>
        <v/>
      </c>
    </row>
    <row r="18" ht="15" customHeight="1">
      <c r="A18" s="40" t="n">
        <v>14</v>
      </c>
      <c r="B18" s="40" t="inlineStr">
        <is>
          <t>G</t>
        </is>
      </c>
      <c r="C18" s="46" t="inlineStr">
        <is>
          <t>Bélgica</t>
        </is>
      </c>
      <c r="D18" s="41" t="n"/>
      <c r="E18" s="33" t="inlineStr">
        <is>
          <t>X</t>
        </is>
      </c>
      <c r="F18" s="41" t="n"/>
      <c r="G18" s="46" t="inlineStr">
        <is>
          <t>Egito</t>
        </is>
      </c>
      <c r="H18" s="42" t="n">
        <v>46188</v>
      </c>
      <c r="I18" s="43" t="n">
        <v>46188</v>
      </c>
      <c r="J18" s="44" t="n">
        <v>0.6666666666666666</v>
      </c>
      <c r="K18">
        <f>IF(AND(ISNUMBER(D18),ISNUMBER(F18),ISNUMBER(Resultados!D18),ISNUMBER(Resultados!F18)),IF(SIGN(D18-F18)=SIGN(Resultados!D18-Resultados!F18),2,0)+IF(D18=Resultados!D18,1,0)+IF(F18=Resultados!F18,1,0)+IF(D18+F18=Resultados!D18+Resultados!F18,1,0),0)</f>
        <v/>
      </c>
    </row>
    <row r="19" ht="15" customHeight="1">
      <c r="A19" s="40" t="n">
        <v>15</v>
      </c>
      <c r="B19" s="40" t="inlineStr">
        <is>
          <t>H</t>
        </is>
      </c>
      <c r="C19" s="46" t="inlineStr">
        <is>
          <t>Arábia Saudita</t>
        </is>
      </c>
      <c r="D19" s="41" t="n"/>
      <c r="E19" s="33" t="inlineStr">
        <is>
          <t>X</t>
        </is>
      </c>
      <c r="F19" s="41" t="n"/>
      <c r="G19" s="46" t="inlineStr">
        <is>
          <t>Uruguai</t>
        </is>
      </c>
      <c r="H19" s="42" t="n">
        <v>46188</v>
      </c>
      <c r="I19" s="43" t="n">
        <v>46188</v>
      </c>
      <c r="J19" s="44" t="n">
        <v>0.7916666666666666</v>
      </c>
      <c r="K19">
        <f>IF(AND(ISNUMBER(D19),ISNUMBER(F19),ISNUMBER(Resultados!D19),ISNUMBER(Resultados!F19)),IF(SIGN(D19-F19)=SIGN(Resultados!D19-Resultados!F19),2,0)+IF(D19=Resultados!D19,1,0)+IF(F19=Resultados!F19,1,0)+IF(D19+F19=Resultados!D19+Resultados!F19,1,0),0)</f>
        <v/>
      </c>
    </row>
    <row r="20" ht="15" customHeight="1">
      <c r="A20" s="40" t="n">
        <v>16</v>
      </c>
      <c r="B20" s="40" t="inlineStr">
        <is>
          <t>G</t>
        </is>
      </c>
      <c r="C20" s="46" t="inlineStr">
        <is>
          <t>Irã</t>
        </is>
      </c>
      <c r="D20" s="41" t="n"/>
      <c r="E20" s="33" t="inlineStr">
        <is>
          <t>X</t>
        </is>
      </c>
      <c r="F20" s="41" t="n"/>
      <c r="G20" s="46" t="inlineStr">
        <is>
          <t>Nova Zelândia</t>
        </is>
      </c>
      <c r="H20" s="42" t="n">
        <v>46188</v>
      </c>
      <c r="I20" s="43" t="n">
        <v>46188</v>
      </c>
      <c r="J20" s="44" t="n">
        <v>0.9166666666666666</v>
      </c>
      <c r="K20">
        <f>IF(AND(ISNUMBER(D20),ISNUMBER(F20),ISNUMBER(Resultados!D20),ISNUMBER(Resultados!F20)),IF(SIGN(D20-F20)=SIGN(Resultados!D20-Resultados!F20),2,0)+IF(D20=Resultados!D20,1,0)+IF(F20=Resultados!F20,1,0)+IF(D20+F20=Resultados!D20+Resultados!F20,1,0),0)</f>
        <v/>
      </c>
    </row>
    <row r="21" ht="15" customHeight="1">
      <c r="A21" s="40" t="n">
        <v>17</v>
      </c>
      <c r="B21" s="40" t="inlineStr">
        <is>
          <t>I</t>
        </is>
      </c>
      <c r="C21" s="46" t="inlineStr">
        <is>
          <t>França</t>
        </is>
      </c>
      <c r="D21" s="41" t="n">
        <v>1</v>
      </c>
      <c r="E21" s="33" t="inlineStr">
        <is>
          <t>X</t>
        </is>
      </c>
      <c r="F21" s="41" t="n">
        <v>2</v>
      </c>
      <c r="G21" s="46" t="inlineStr">
        <is>
          <t>Senegal</t>
        </is>
      </c>
      <c r="H21" s="42" t="n">
        <v>46189</v>
      </c>
      <c r="I21" s="43" t="n">
        <v>46189</v>
      </c>
      <c r="J21" s="44" t="n">
        <v>0.6666666666666666</v>
      </c>
      <c r="K21">
        <f>IF(AND(ISNUMBER(D21),ISNUMBER(F21),ISNUMBER(Resultados!D21),ISNUMBER(Resultados!F21)),IF(SIGN(D21-F21)=SIGN(Resultados!D21-Resultados!F21),2,0)+IF(D21=Resultados!D21,1,0)+IF(F21=Resultados!F21,1,0)+IF(D21+F21=Resultados!D21+Resultados!F21,1,0),0)</f>
        <v/>
      </c>
    </row>
    <row r="22" ht="15" customHeight="1">
      <c r="A22" s="40" t="n">
        <v>18</v>
      </c>
      <c r="B22" s="40" t="inlineStr">
        <is>
          <t>I</t>
        </is>
      </c>
      <c r="C22" s="46" t="inlineStr">
        <is>
          <t>Iraque</t>
        </is>
      </c>
      <c r="D22" s="41" t="n">
        <v>1</v>
      </c>
      <c r="E22" s="33" t="inlineStr">
        <is>
          <t>X</t>
        </is>
      </c>
      <c r="F22" s="41" t="n">
        <v>3</v>
      </c>
      <c r="G22" s="46" t="inlineStr">
        <is>
          <t>Noruega</t>
        </is>
      </c>
      <c r="H22" s="42" t="n">
        <v>46189</v>
      </c>
      <c r="I22" s="43" t="n">
        <v>46189</v>
      </c>
      <c r="J22" s="44" t="n">
        <v>0.7916666666666666</v>
      </c>
      <c r="K22">
        <f>IF(AND(ISNUMBER(D22),ISNUMBER(F22),ISNUMBER(Resultados!D22),ISNUMBER(Resultados!F22)),IF(SIGN(D22-F22)=SIGN(Resultados!D22-Resultados!F22),2,0)+IF(D22=Resultados!D22,1,0)+IF(F22=Resultados!F22,1,0)+IF(D22+F22=Resultados!D22+Resultados!F22,1,0),0)</f>
        <v/>
      </c>
    </row>
    <row r="23" ht="15" customHeight="1">
      <c r="A23" s="40" t="n">
        <v>19</v>
      </c>
      <c r="B23" s="40" t="inlineStr">
        <is>
          <t>J</t>
        </is>
      </c>
      <c r="C23" s="46" t="inlineStr">
        <is>
          <t>Argentina</t>
        </is>
      </c>
      <c r="D23" s="41" t="n">
        <v>2</v>
      </c>
      <c r="E23" s="33" t="inlineStr">
        <is>
          <t>X</t>
        </is>
      </c>
      <c r="F23" s="41" t="n">
        <v>0</v>
      </c>
      <c r="G23" s="46" t="inlineStr">
        <is>
          <t>Argélia</t>
        </is>
      </c>
      <c r="H23" s="42" t="n">
        <v>46189</v>
      </c>
      <c r="I23" s="43" t="n">
        <v>46189</v>
      </c>
      <c r="J23" s="44" t="n">
        <v>0.9166666666666666</v>
      </c>
      <c r="K23">
        <f>IF(AND(ISNUMBER(D23),ISNUMBER(F23),ISNUMBER(Resultados!D23),ISNUMBER(Resultados!F23)),IF(SIGN(D23-F23)=SIGN(Resultados!D23-Resultados!F23),2,0)+IF(D23=Resultados!D23,1,0)+IF(F23=Resultados!F23,1,0)+IF(D23+F23=Resultados!D23+Resultados!F23,1,0),0)</f>
        <v/>
      </c>
    </row>
    <row r="24" ht="15" customHeight="1">
      <c r="A24" s="40" t="n">
        <v>20</v>
      </c>
      <c r="B24" s="40" t="inlineStr">
        <is>
          <t>J</t>
        </is>
      </c>
      <c r="C24" s="46" t="inlineStr">
        <is>
          <t>Áustria</t>
        </is>
      </c>
      <c r="D24" s="41" t="n">
        <v>1</v>
      </c>
      <c r="E24" s="33" t="inlineStr">
        <is>
          <t>X</t>
        </is>
      </c>
      <c r="F24" s="41" t="n">
        <v>0</v>
      </c>
      <c r="G24" s="46" t="inlineStr">
        <is>
          <t>Jordânia</t>
        </is>
      </c>
      <c r="H24" s="42" t="n">
        <v>46190</v>
      </c>
      <c r="I24" s="43" t="n">
        <v>46190</v>
      </c>
      <c r="J24" s="44" t="n">
        <v>0.04166666666666666</v>
      </c>
      <c r="K24">
        <f>IF(AND(ISNUMBER(D24),ISNUMBER(F24),ISNUMBER(Resultados!D24),ISNUMBER(Resultados!F24)),IF(SIGN(D24-F24)=SIGN(Resultados!D24-Resultados!F24),2,0)+IF(D24=Resultados!D24,1,0)+IF(F24=Resultados!F24,1,0)+IF(D24+F24=Resultados!D24+Resultados!F24,1,0),0)</f>
        <v/>
      </c>
    </row>
    <row r="25" ht="15" customHeight="1">
      <c r="A25" s="40" t="n">
        <v>21</v>
      </c>
      <c r="B25" s="40" t="inlineStr">
        <is>
          <t>K</t>
        </is>
      </c>
      <c r="C25" s="46" t="inlineStr">
        <is>
          <t>Portugal</t>
        </is>
      </c>
      <c r="D25" s="41" t="n">
        <v>2</v>
      </c>
      <c r="E25" s="33" t="inlineStr">
        <is>
          <t>X</t>
        </is>
      </c>
      <c r="F25" s="41" t="n">
        <v>3</v>
      </c>
      <c r="G25" s="46" t="inlineStr">
        <is>
          <t>RD Congo</t>
        </is>
      </c>
      <c r="H25" s="42" t="n">
        <v>46190</v>
      </c>
      <c r="I25" s="43" t="n">
        <v>46190</v>
      </c>
      <c r="J25" s="44" t="n">
        <v>0.5833333333333334</v>
      </c>
      <c r="K25">
        <f>IF(AND(ISNUMBER(D25),ISNUMBER(F25),ISNUMBER(Resultados!D25),ISNUMBER(Resultados!F25)),IF(SIGN(D25-F25)=SIGN(Resultados!D25-Resultados!F25),2,0)+IF(D25=Resultados!D25,1,0)+IF(F25=Resultados!F25,1,0)+IF(D25+F25=Resultados!D25+Resultados!F25,1,0),0)</f>
        <v/>
      </c>
    </row>
    <row r="26" ht="15" customHeight="1">
      <c r="A26" s="40" t="n">
        <v>22</v>
      </c>
      <c r="B26" s="40" t="inlineStr">
        <is>
          <t>L</t>
        </is>
      </c>
      <c r="C26" s="46" t="inlineStr">
        <is>
          <t>Inglaterra</t>
        </is>
      </c>
      <c r="D26" s="41" t="n">
        <v>2</v>
      </c>
      <c r="E26" s="33" t="inlineStr">
        <is>
          <t>X</t>
        </is>
      </c>
      <c r="F26" s="41" t="n">
        <v>1</v>
      </c>
      <c r="G26" s="46" t="inlineStr">
        <is>
          <t>Croácia</t>
        </is>
      </c>
      <c r="H26" s="42" t="n">
        <v>46190</v>
      </c>
      <c r="I26" s="43" t="n">
        <v>46190</v>
      </c>
      <c r="J26" s="44" t="n">
        <v>0.7083333333333334</v>
      </c>
      <c r="K26">
        <f>IF(AND(ISNUMBER(D26),ISNUMBER(F26),ISNUMBER(Resultados!D26),ISNUMBER(Resultados!F26)),IF(SIGN(D26-F26)=SIGN(Resultados!D26-Resultados!F26),2,0)+IF(D26=Resultados!D26,1,0)+IF(F26=Resultados!F26,1,0)+IF(D26+F26=Resultados!D26+Resultados!F26,1,0),0)</f>
        <v/>
      </c>
    </row>
    <row r="27" ht="15" customHeight="1">
      <c r="A27" s="40" t="n">
        <v>23</v>
      </c>
      <c r="B27" s="40" t="inlineStr">
        <is>
          <t>L</t>
        </is>
      </c>
      <c r="C27" s="46" t="inlineStr">
        <is>
          <t>Gana</t>
        </is>
      </c>
      <c r="D27" s="41" t="n">
        <v>0</v>
      </c>
      <c r="E27" s="33" t="inlineStr">
        <is>
          <t>X</t>
        </is>
      </c>
      <c r="F27" s="41" t="n">
        <v>0</v>
      </c>
      <c r="G27" s="46" t="inlineStr">
        <is>
          <t>Panamá</t>
        </is>
      </c>
      <c r="H27" s="42" t="n">
        <v>46190</v>
      </c>
      <c r="I27" s="43" t="n">
        <v>46190</v>
      </c>
      <c r="J27" s="44" t="n">
        <v>0.8333333333333334</v>
      </c>
      <c r="K27">
        <f>IF(AND(ISNUMBER(D27),ISNUMBER(F27),ISNUMBER(Resultados!D27),ISNUMBER(Resultados!F27)),IF(SIGN(D27-F27)=SIGN(Resultados!D27-Resultados!F27),2,0)+IF(D27=Resultados!D27,1,0)+IF(F27=Resultados!F27,1,0)+IF(D27+F27=Resultados!D27+Resultados!F27,1,0),0)</f>
        <v/>
      </c>
    </row>
    <row r="28" ht="15" customHeight="1">
      <c r="A28" s="40" t="n">
        <v>24</v>
      </c>
      <c r="B28" s="40" t="inlineStr">
        <is>
          <t>K</t>
        </is>
      </c>
      <c r="C28" s="46" t="inlineStr">
        <is>
          <t>Uzbequistão</t>
        </is>
      </c>
      <c r="D28" s="41" t="n">
        <v>1</v>
      </c>
      <c r="E28" s="33" t="inlineStr">
        <is>
          <t>X</t>
        </is>
      </c>
      <c r="F28" s="41" t="n">
        <v>2</v>
      </c>
      <c r="G28" s="46" t="inlineStr">
        <is>
          <t>Colômbia</t>
        </is>
      </c>
      <c r="H28" s="42" t="n">
        <v>46190</v>
      </c>
      <c r="I28" s="43" t="n">
        <v>46190</v>
      </c>
      <c r="J28" s="44" t="n">
        <v>0.9583333333333334</v>
      </c>
      <c r="K28">
        <f>IF(AND(ISNUMBER(D28),ISNUMBER(F28),ISNUMBER(Resultados!D28),ISNUMBER(Resultados!F28)),IF(SIGN(D28-F28)=SIGN(Resultados!D28-Resultados!F28),2,0)+IF(D28=Resultados!D28,1,0)+IF(F28=Resultados!F28,1,0)+IF(D28+F28=Resultados!D28+Resultados!F28,1,0),0)</f>
        <v/>
      </c>
    </row>
    <row r="29" ht="15" customHeight="1">
      <c r="A29" s="40" t="n">
        <v>25</v>
      </c>
      <c r="B29" s="40" t="inlineStr">
        <is>
          <t>A</t>
        </is>
      </c>
      <c r="C29" s="46" t="inlineStr">
        <is>
          <t>Tchéquia</t>
        </is>
      </c>
      <c r="D29" s="41" t="n">
        <v>1</v>
      </c>
      <c r="E29" s="33" t="inlineStr">
        <is>
          <t>X</t>
        </is>
      </c>
      <c r="F29" s="41" t="n">
        <v>2</v>
      </c>
      <c r="G29" s="46" t="inlineStr">
        <is>
          <t>África do Sul</t>
        </is>
      </c>
      <c r="H29" s="42" t="n">
        <v>46191</v>
      </c>
      <c r="I29" s="43" t="n">
        <v>46191</v>
      </c>
      <c r="J29" s="44" t="n">
        <v>0.5416666666666666</v>
      </c>
      <c r="K29">
        <f>IF(AND(ISNUMBER(D29),ISNUMBER(F29),ISNUMBER(Resultados!D29),ISNUMBER(Resultados!F29)),IF(SIGN(D29-F29)=SIGN(Resultados!D29-Resultados!F29),2,0)+IF(D29=Resultados!D29,1,0)+IF(F29=Resultados!F29,1,0)+IF(D29+F29=Resultados!D29+Resultados!F29,1,0),0)</f>
        <v/>
      </c>
    </row>
    <row r="30" ht="15" customHeight="1">
      <c r="A30" s="40" t="n">
        <v>26</v>
      </c>
      <c r="B30" s="40" t="inlineStr">
        <is>
          <t>B</t>
        </is>
      </c>
      <c r="C30" s="46" t="inlineStr">
        <is>
          <t>Suíça</t>
        </is>
      </c>
      <c r="D30" s="41" t="n">
        <v>0</v>
      </c>
      <c r="E30" s="33" t="inlineStr">
        <is>
          <t>X</t>
        </is>
      </c>
      <c r="F30" s="41" t="n">
        <v>3</v>
      </c>
      <c r="G30" s="46" t="inlineStr">
        <is>
          <t>Bósnia</t>
        </is>
      </c>
      <c r="H30" s="42" t="n">
        <v>46191</v>
      </c>
      <c r="I30" s="43" t="n">
        <v>46191</v>
      </c>
      <c r="J30" s="44" t="n">
        <v>0.6666666666666666</v>
      </c>
      <c r="K30">
        <f>IF(AND(ISNUMBER(D30),ISNUMBER(F30),ISNUMBER(Resultados!D30),ISNUMBER(Resultados!F30)),IF(SIGN(D30-F30)=SIGN(Resultados!D30-Resultados!F30),2,0)+IF(D30=Resultados!D30,1,0)+IF(F30=Resultados!F30,1,0)+IF(D30+F30=Resultados!D30+Resultados!F30,1,0),0)</f>
        <v/>
      </c>
    </row>
    <row r="31" ht="15" customHeight="1">
      <c r="A31" s="40" t="n">
        <v>27</v>
      </c>
      <c r="B31" s="40" t="inlineStr">
        <is>
          <t>B</t>
        </is>
      </c>
      <c r="C31" s="46" t="inlineStr">
        <is>
          <t>Canadá</t>
        </is>
      </c>
      <c r="D31" s="41" t="n">
        <v>2</v>
      </c>
      <c r="E31" s="33" t="inlineStr">
        <is>
          <t>X</t>
        </is>
      </c>
      <c r="F31" s="41" t="n">
        <v>1</v>
      </c>
      <c r="G31" s="46" t="inlineStr">
        <is>
          <t>Catar</t>
        </is>
      </c>
      <c r="H31" s="42" t="n">
        <v>46191</v>
      </c>
      <c r="I31" s="43" t="n">
        <v>46191</v>
      </c>
      <c r="J31" s="44" t="n">
        <v>0.7916666666666666</v>
      </c>
      <c r="K31">
        <f>IF(AND(ISNUMBER(D31),ISNUMBER(F31),ISNUMBER(Resultados!D31),ISNUMBER(Resultados!F31)),IF(SIGN(D31-F31)=SIGN(Resultados!D31-Resultados!F31),2,0)+IF(D31=Resultados!D31,1,0)+IF(F31=Resultados!F31,1,0)+IF(D31+F31=Resultados!D31+Resultados!F31,1,0),0)</f>
        <v/>
      </c>
    </row>
    <row r="32" ht="15" customHeight="1">
      <c r="A32" s="40" t="n">
        <v>28</v>
      </c>
      <c r="B32" s="40" t="inlineStr">
        <is>
          <t>A</t>
        </is>
      </c>
      <c r="C32" s="46" t="inlineStr">
        <is>
          <t>México</t>
        </is>
      </c>
      <c r="D32" s="41" t="n">
        <v>3</v>
      </c>
      <c r="E32" s="33" t="inlineStr">
        <is>
          <t>X</t>
        </is>
      </c>
      <c r="F32" s="41" t="n">
        <v>1</v>
      </c>
      <c r="G32" s="46" t="inlineStr">
        <is>
          <t>Coreia do Sul</t>
        </is>
      </c>
      <c r="H32" s="42" t="n">
        <v>46191</v>
      </c>
      <c r="I32" s="43" t="n">
        <v>46191</v>
      </c>
      <c r="J32" s="44" t="n">
        <v>0.9166666666666666</v>
      </c>
      <c r="K32">
        <f>IF(AND(ISNUMBER(D32),ISNUMBER(F32),ISNUMBER(Resultados!D32),ISNUMBER(Resultados!F32)),IF(SIGN(D32-F32)=SIGN(Resultados!D32-Resultados!F32),2,0)+IF(D32=Resultados!D32,1,0)+IF(F32=Resultados!F32,1,0)+IF(D32+F32=Resultados!D32+Resultados!F32,1,0),0)</f>
        <v/>
      </c>
    </row>
    <row r="33" ht="15" customHeight="1">
      <c r="A33" s="40" t="n">
        <v>29</v>
      </c>
      <c r="B33" s="40" t="inlineStr">
        <is>
          <t>D</t>
        </is>
      </c>
      <c r="C33" s="46" t="inlineStr">
        <is>
          <t>EUA</t>
        </is>
      </c>
      <c r="D33" s="41" t="n">
        <v>0</v>
      </c>
      <c r="E33" s="33" t="inlineStr">
        <is>
          <t>X</t>
        </is>
      </c>
      <c r="F33" s="41" t="n">
        <v>1</v>
      </c>
      <c r="G33" s="46" t="inlineStr">
        <is>
          <t>Austrália</t>
        </is>
      </c>
      <c r="H33" s="42" t="n">
        <v>46192</v>
      </c>
      <c r="I33" s="43" t="n">
        <v>46192</v>
      </c>
      <c r="J33" s="44" t="n">
        <v>0.6666666666666666</v>
      </c>
      <c r="K33">
        <f>IF(AND(ISNUMBER(D33),ISNUMBER(F33),ISNUMBER(Resultados!D33),ISNUMBER(Resultados!F33)),IF(SIGN(D33-F33)=SIGN(Resultados!D33-Resultados!F33),2,0)+IF(D33=Resultados!D33,1,0)+IF(F33=Resultados!F33,1,0)+IF(D33+F33=Resultados!D33+Resultados!F33,1,0),0)</f>
        <v/>
      </c>
    </row>
    <row r="34" ht="15" customHeight="1">
      <c r="A34" s="40" t="n">
        <v>30</v>
      </c>
      <c r="B34" s="40" t="inlineStr">
        <is>
          <t>C</t>
        </is>
      </c>
      <c r="C34" s="46" t="inlineStr">
        <is>
          <t>Marrocos</t>
        </is>
      </c>
      <c r="D34" s="41" t="n">
        <v>3</v>
      </c>
      <c r="E34" s="33" t="inlineStr">
        <is>
          <t>X</t>
        </is>
      </c>
      <c r="F34" s="41" t="n">
        <v>2</v>
      </c>
      <c r="G34" s="46" t="inlineStr">
        <is>
          <t>Escócia</t>
        </is>
      </c>
      <c r="H34" s="42" t="n">
        <v>46192</v>
      </c>
      <c r="I34" s="43" t="n">
        <v>46192</v>
      </c>
      <c r="J34" s="44" t="n">
        <v>0.7916666666666666</v>
      </c>
      <c r="K34">
        <f>IF(AND(ISNUMBER(D34),ISNUMBER(F34),ISNUMBER(Resultados!D34),ISNUMBER(Resultados!F34)),IF(SIGN(D34-F34)=SIGN(Resultados!D34-Resultados!F34),2,0)+IF(D34=Resultados!D34,1,0)+IF(F34=Resultados!F34,1,0)+IF(D34+F34=Resultados!D34+Resultados!F34,1,0),0)</f>
        <v/>
      </c>
    </row>
    <row r="35" ht="15" customHeight="1">
      <c r="A35" s="40" t="n">
        <v>31</v>
      </c>
      <c r="B35" s="40" t="inlineStr">
        <is>
          <t>C</t>
        </is>
      </c>
      <c r="C35" s="47" t="inlineStr">
        <is>
          <t>Brasil</t>
        </is>
      </c>
      <c r="D35" s="41" t="n">
        <v>3</v>
      </c>
      <c r="E35" s="33" t="inlineStr">
        <is>
          <t>X</t>
        </is>
      </c>
      <c r="F35" s="41" t="n">
        <v>2</v>
      </c>
      <c r="G35" s="46" t="inlineStr">
        <is>
          <t>Haiti</t>
        </is>
      </c>
      <c r="H35" s="42" t="n">
        <v>46192</v>
      </c>
      <c r="I35" s="43" t="n">
        <v>46192</v>
      </c>
      <c r="J35" s="44" t="n">
        <v>0.8958333333333334</v>
      </c>
      <c r="K35">
        <f>IF(AND(ISNUMBER(D35),ISNUMBER(F35),ISNUMBER(Resultados!D35),ISNUMBER(Resultados!F35)),IF(SIGN(D35-F35)=SIGN(Resultados!D35-Resultados!F35),2,0)+IF(D35=Resultados!D35,1,0)+IF(F35=Resultados!F35,1,0)+IF(D35+F35=Resultados!D35+Resultados!F35,1,0),0)</f>
        <v/>
      </c>
    </row>
    <row r="36" ht="15" customHeight="1">
      <c r="A36" s="40" t="n">
        <v>32</v>
      </c>
      <c r="B36" s="40" t="inlineStr">
        <is>
          <t>D</t>
        </is>
      </c>
      <c r="C36" s="46" t="inlineStr">
        <is>
          <t>Turquia</t>
        </is>
      </c>
      <c r="D36" s="41" t="n">
        <v>2</v>
      </c>
      <c r="E36" s="33" t="inlineStr">
        <is>
          <t>X</t>
        </is>
      </c>
      <c r="F36" s="41" t="n">
        <v>0</v>
      </c>
      <c r="G36" s="46" t="inlineStr">
        <is>
          <t>Paraguai</t>
        </is>
      </c>
      <c r="H36" s="42" t="n">
        <v>46193</v>
      </c>
      <c r="I36" s="43" t="n">
        <v>46193</v>
      </c>
      <c r="J36" s="44" t="n">
        <v>0</v>
      </c>
      <c r="K36">
        <f>IF(AND(ISNUMBER(D36),ISNUMBER(F36),ISNUMBER(Resultados!D36),ISNUMBER(Resultados!F36)),IF(SIGN(D36-F36)=SIGN(Resultados!D36-Resultados!F36),2,0)+IF(D36=Resultados!D36,1,0)+IF(F36=Resultados!F36,1,0)+IF(D36+F36=Resultados!D36+Resultados!F36,1,0),0)</f>
        <v/>
      </c>
    </row>
    <row r="37" ht="15" customHeight="1">
      <c r="A37" s="40" t="n">
        <v>33</v>
      </c>
      <c r="B37" s="40" t="inlineStr">
        <is>
          <t>F</t>
        </is>
      </c>
      <c r="C37" s="46" t="inlineStr">
        <is>
          <t>Holanda</t>
        </is>
      </c>
      <c r="D37" s="41" t="n">
        <v>3</v>
      </c>
      <c r="E37" s="33" t="inlineStr">
        <is>
          <t>X</t>
        </is>
      </c>
      <c r="F37" s="41" t="n">
        <v>3</v>
      </c>
      <c r="G37" s="46" t="inlineStr">
        <is>
          <t>Suécia</t>
        </is>
      </c>
      <c r="H37" s="42" t="n">
        <v>46193</v>
      </c>
      <c r="I37" s="43" t="n">
        <v>46193</v>
      </c>
      <c r="J37" s="44" t="n">
        <v>0.5833333333333334</v>
      </c>
      <c r="K37">
        <f>IF(AND(ISNUMBER(D37),ISNUMBER(F37),ISNUMBER(Resultados!D37),ISNUMBER(Resultados!F37)),IF(SIGN(D37-F37)=SIGN(Resultados!D37-Resultados!F37),2,0)+IF(D37=Resultados!D37,1,0)+IF(F37=Resultados!F37,1,0)+IF(D37+F37=Resultados!D37+Resultados!F37,1,0),0)</f>
        <v/>
      </c>
    </row>
    <row r="38" ht="15" customHeight="1">
      <c r="A38" s="40" t="n">
        <v>34</v>
      </c>
      <c r="B38" s="40" t="inlineStr">
        <is>
          <t>E</t>
        </is>
      </c>
      <c r="C38" s="46" t="inlineStr">
        <is>
          <t>Alemanha</t>
        </is>
      </c>
      <c r="D38" s="41" t="n">
        <v>0</v>
      </c>
      <c r="E38" s="33" t="inlineStr">
        <is>
          <t>X</t>
        </is>
      </c>
      <c r="F38" s="41" t="n">
        <v>2</v>
      </c>
      <c r="G38" s="46" t="inlineStr">
        <is>
          <t>Costa do Marfim</t>
        </is>
      </c>
      <c r="H38" s="42" t="n">
        <v>46193</v>
      </c>
      <c r="I38" s="43" t="n">
        <v>46193</v>
      </c>
      <c r="J38" s="44" t="n">
        <v>0.7083333333333334</v>
      </c>
      <c r="K38">
        <f>IF(AND(ISNUMBER(D38),ISNUMBER(F38),ISNUMBER(Resultados!D38),ISNUMBER(Resultados!F38)),IF(SIGN(D38-F38)=SIGN(Resultados!D38-Resultados!F38),2,0)+IF(D38=Resultados!D38,1,0)+IF(F38=Resultados!F38,1,0)+IF(D38+F38=Resultados!D38+Resultados!F38,1,0),0)</f>
        <v/>
      </c>
    </row>
    <row r="39" ht="15" customHeight="1">
      <c r="A39" s="40" t="n">
        <v>35</v>
      </c>
      <c r="B39" s="40" t="inlineStr">
        <is>
          <t>E</t>
        </is>
      </c>
      <c r="C39" s="46" t="inlineStr">
        <is>
          <t>Equador</t>
        </is>
      </c>
      <c r="D39" s="41" t="n">
        <v>2</v>
      </c>
      <c r="E39" s="33" t="inlineStr">
        <is>
          <t>X</t>
        </is>
      </c>
      <c r="F39" s="41" t="n">
        <v>3</v>
      </c>
      <c r="G39" s="46" t="inlineStr">
        <is>
          <t>Curaçau</t>
        </is>
      </c>
      <c r="H39" s="42" t="n">
        <v>46193</v>
      </c>
      <c r="I39" s="43" t="n">
        <v>46193</v>
      </c>
      <c r="J39" s="44" t="n">
        <v>0.875</v>
      </c>
      <c r="K39">
        <f>IF(AND(ISNUMBER(D39),ISNUMBER(F39),ISNUMBER(Resultados!D39),ISNUMBER(Resultados!F39)),IF(SIGN(D39-F39)=SIGN(Resultados!D39-Resultados!F39),2,0)+IF(D39=Resultados!D39,1,0)+IF(F39=Resultados!F39,1,0)+IF(D39+F39=Resultados!D39+Resultados!F39,1,0),0)</f>
        <v/>
      </c>
    </row>
    <row r="40" ht="15" customHeight="1">
      <c r="A40" s="40" t="n">
        <v>36</v>
      </c>
      <c r="B40" s="40" t="inlineStr">
        <is>
          <t>F</t>
        </is>
      </c>
      <c r="C40" s="46" t="inlineStr">
        <is>
          <t>Tunísia</t>
        </is>
      </c>
      <c r="D40" s="41" t="n">
        <v>3</v>
      </c>
      <c r="E40" s="33" t="inlineStr">
        <is>
          <t>X</t>
        </is>
      </c>
      <c r="F40" s="41" t="n">
        <v>2</v>
      </c>
      <c r="G40" s="46" t="inlineStr">
        <is>
          <t>Japão</t>
        </is>
      </c>
      <c r="H40" s="42" t="n">
        <v>46194</v>
      </c>
      <c r="I40" s="43" t="n">
        <v>46194</v>
      </c>
      <c r="J40" s="44" t="n">
        <v>0.04166666666666666</v>
      </c>
      <c r="K40">
        <f>IF(AND(ISNUMBER(D40),ISNUMBER(F40),ISNUMBER(Resultados!D40),ISNUMBER(Resultados!F40)),IF(SIGN(D40-F40)=SIGN(Resultados!D40-Resultados!F40),2,0)+IF(D40=Resultados!D40,1,0)+IF(F40=Resultados!F40,1,0)+IF(D40+F40=Resultados!D40+Resultados!F40,1,0),0)</f>
        <v/>
      </c>
    </row>
    <row r="41" ht="15" customHeight="1">
      <c r="A41" s="40" t="n">
        <v>37</v>
      </c>
      <c r="B41" s="40" t="inlineStr">
        <is>
          <t>H</t>
        </is>
      </c>
      <c r="C41" s="46" t="inlineStr">
        <is>
          <t>Espanha</t>
        </is>
      </c>
      <c r="D41" s="41" t="n">
        <v>1</v>
      </c>
      <c r="E41" s="33" t="inlineStr">
        <is>
          <t>X</t>
        </is>
      </c>
      <c r="F41" s="41" t="n">
        <v>0</v>
      </c>
      <c r="G41" s="46" t="inlineStr">
        <is>
          <t>Arábia Saudita</t>
        </is>
      </c>
      <c r="H41" s="42" t="n">
        <v>46194</v>
      </c>
      <c r="I41" s="43" t="n">
        <v>46194</v>
      </c>
      <c r="J41" s="44" t="n">
        <v>0.5416666666666666</v>
      </c>
      <c r="K41">
        <f>IF(AND(ISNUMBER(D41),ISNUMBER(F41),ISNUMBER(Resultados!D41),ISNUMBER(Resultados!F41)),IF(SIGN(D41-F41)=SIGN(Resultados!D41-Resultados!F41),2,0)+IF(D41=Resultados!D41,1,0)+IF(F41=Resultados!F41,1,0)+IF(D41+F41=Resultados!D41+Resultados!F41,1,0),0)</f>
        <v/>
      </c>
    </row>
    <row r="42" ht="15" customHeight="1">
      <c r="A42" s="40" t="n">
        <v>38</v>
      </c>
      <c r="B42" s="40" t="inlineStr">
        <is>
          <t>G</t>
        </is>
      </c>
      <c r="C42" s="46" t="inlineStr">
        <is>
          <t>Bélgica</t>
        </is>
      </c>
      <c r="D42" s="41" t="n">
        <v>1</v>
      </c>
      <c r="E42" s="33" t="inlineStr">
        <is>
          <t>X</t>
        </is>
      </c>
      <c r="F42" s="41" t="n">
        <v>3</v>
      </c>
      <c r="G42" s="46" t="inlineStr">
        <is>
          <t>Irã</t>
        </is>
      </c>
      <c r="H42" s="42" t="n">
        <v>46194</v>
      </c>
      <c r="I42" s="43" t="n">
        <v>46194</v>
      </c>
      <c r="J42" s="44" t="n">
        <v>0.6666666666666666</v>
      </c>
      <c r="K42">
        <f>IF(AND(ISNUMBER(D42),ISNUMBER(F42),ISNUMBER(Resultados!D42),ISNUMBER(Resultados!F42)),IF(SIGN(D42-F42)=SIGN(Resultados!D42-Resultados!F42),2,0)+IF(D42=Resultados!D42,1,0)+IF(F42=Resultados!F42,1,0)+IF(D42+F42=Resultados!D42+Resultados!F42,1,0),0)</f>
        <v/>
      </c>
    </row>
    <row r="43" ht="15" customHeight="1">
      <c r="A43" s="40" t="n">
        <v>39</v>
      </c>
      <c r="B43" s="40" t="inlineStr">
        <is>
          <t>H</t>
        </is>
      </c>
      <c r="C43" s="46" t="inlineStr">
        <is>
          <t>Uruguai</t>
        </is>
      </c>
      <c r="D43" s="41" t="n">
        <v>1</v>
      </c>
      <c r="E43" s="33" t="inlineStr">
        <is>
          <t>X</t>
        </is>
      </c>
      <c r="F43" s="41" t="n">
        <v>2</v>
      </c>
      <c r="G43" s="46" t="inlineStr">
        <is>
          <t>Cabo Verde</t>
        </is>
      </c>
      <c r="H43" s="42" t="n">
        <v>46194</v>
      </c>
      <c r="I43" s="43" t="n">
        <v>46194</v>
      </c>
      <c r="J43" s="44" t="n">
        <v>0.7916666666666666</v>
      </c>
      <c r="K43">
        <f>IF(AND(ISNUMBER(D43),ISNUMBER(F43),ISNUMBER(Resultados!D43),ISNUMBER(Resultados!F43)),IF(SIGN(D43-F43)=SIGN(Resultados!D43-Resultados!F43),2,0)+IF(D43=Resultados!D43,1,0)+IF(F43=Resultados!F43,1,0)+IF(D43+F43=Resultados!D43+Resultados!F43,1,0),0)</f>
        <v/>
      </c>
    </row>
    <row r="44" ht="15" customHeight="1">
      <c r="A44" s="40" t="n">
        <v>40</v>
      </c>
      <c r="B44" s="40" t="inlineStr">
        <is>
          <t>G</t>
        </is>
      </c>
      <c r="C44" s="46" t="inlineStr">
        <is>
          <t>Nova Zelândia</t>
        </is>
      </c>
      <c r="D44" s="41" t="n">
        <v>0</v>
      </c>
      <c r="E44" s="33" t="inlineStr">
        <is>
          <t>X</t>
        </is>
      </c>
      <c r="F44" s="41" t="n">
        <v>1</v>
      </c>
      <c r="G44" s="46" t="inlineStr">
        <is>
          <t>Egito</t>
        </is>
      </c>
      <c r="H44" s="42" t="n">
        <v>46194</v>
      </c>
      <c r="I44" s="43" t="n">
        <v>46194</v>
      </c>
      <c r="J44" s="44" t="n">
        <v>0.9166666666666666</v>
      </c>
      <c r="K44">
        <f>IF(AND(ISNUMBER(D44),ISNUMBER(F44),ISNUMBER(Resultados!D44),ISNUMBER(Resultados!F44)),IF(SIGN(D44-F44)=SIGN(Resultados!D44-Resultados!F44),2,0)+IF(D44=Resultados!D44,1,0)+IF(F44=Resultados!F44,1,0)+IF(D44+F44=Resultados!D44+Resultados!F44,1,0),0)</f>
        <v/>
      </c>
    </row>
    <row r="45" ht="15" customHeight="1">
      <c r="A45" s="40" t="n">
        <v>41</v>
      </c>
      <c r="B45" s="40" t="inlineStr">
        <is>
          <t>I</t>
        </is>
      </c>
      <c r="C45" s="46" t="inlineStr">
        <is>
          <t>França</t>
        </is>
      </c>
      <c r="D45" s="41" t="n">
        <v>2</v>
      </c>
      <c r="E45" s="33" t="inlineStr">
        <is>
          <t>X</t>
        </is>
      </c>
      <c r="F45" s="41" t="n">
        <v>0</v>
      </c>
      <c r="G45" s="46" t="inlineStr">
        <is>
          <t>Iraque</t>
        </is>
      </c>
      <c r="H45" s="42" t="n">
        <v>46195</v>
      </c>
      <c r="I45" s="43" t="n">
        <v>46195</v>
      </c>
      <c r="J45" s="44" t="n">
        <v>0.6666666666666666</v>
      </c>
      <c r="K45">
        <f>IF(AND(ISNUMBER(D45),ISNUMBER(F45),ISNUMBER(Resultados!D45),ISNUMBER(Resultados!F45)),IF(SIGN(D45-F45)=SIGN(Resultados!D45-Resultados!F45),2,0)+IF(D45=Resultados!D45,1,0)+IF(F45=Resultados!F45,1,0)+IF(D45+F45=Resultados!D45+Resultados!F45,1,0),0)</f>
        <v/>
      </c>
    </row>
    <row r="46" ht="15" customHeight="1">
      <c r="A46" s="40" t="n">
        <v>42</v>
      </c>
      <c r="B46" s="40" t="inlineStr">
        <is>
          <t>I</t>
        </is>
      </c>
      <c r="C46" s="46" t="inlineStr">
        <is>
          <t>Noruega</t>
        </is>
      </c>
      <c r="D46" s="41" t="n">
        <v>1</v>
      </c>
      <c r="E46" s="33" t="inlineStr">
        <is>
          <t>X</t>
        </is>
      </c>
      <c r="F46" s="41" t="n">
        <v>2</v>
      </c>
      <c r="G46" s="46" t="inlineStr">
        <is>
          <t>Senegal</t>
        </is>
      </c>
      <c r="H46" s="42" t="n">
        <v>46195</v>
      </c>
      <c r="I46" s="43" t="n">
        <v>46195</v>
      </c>
      <c r="J46" s="44" t="n">
        <v>0.7916666666666666</v>
      </c>
      <c r="K46">
        <f>IF(AND(ISNUMBER(D46),ISNUMBER(F46),ISNUMBER(Resultados!D46),ISNUMBER(Resultados!F46)),IF(SIGN(D46-F46)=SIGN(Resultados!D46-Resultados!F46),2,0)+IF(D46=Resultados!D46,1,0)+IF(F46=Resultados!F46,1,0)+IF(D46+F46=Resultados!D46+Resultados!F46,1,0),0)</f>
        <v/>
      </c>
    </row>
    <row r="47" ht="15" customHeight="1">
      <c r="A47" s="40" t="n">
        <v>43</v>
      </c>
      <c r="B47" s="40" t="inlineStr">
        <is>
          <t>J</t>
        </is>
      </c>
      <c r="C47" s="46" t="inlineStr">
        <is>
          <t>Argentina</t>
        </is>
      </c>
      <c r="D47" s="41" t="n">
        <v>1</v>
      </c>
      <c r="E47" s="33" t="inlineStr">
        <is>
          <t>X</t>
        </is>
      </c>
      <c r="F47" s="41" t="n">
        <v>3</v>
      </c>
      <c r="G47" s="46" t="inlineStr">
        <is>
          <t>Áustria</t>
        </is>
      </c>
      <c r="H47" s="42" t="n">
        <v>46195</v>
      </c>
      <c r="I47" s="43" t="n">
        <v>46195</v>
      </c>
      <c r="J47" s="44" t="n">
        <v>0.9166666666666666</v>
      </c>
      <c r="K47">
        <f>IF(AND(ISNUMBER(D47),ISNUMBER(F47),ISNUMBER(Resultados!D47),ISNUMBER(Resultados!F47)),IF(SIGN(D47-F47)=SIGN(Resultados!D47-Resultados!F47),2,0)+IF(D47=Resultados!D47,1,0)+IF(F47=Resultados!F47,1,0)+IF(D47+F47=Resultados!D47+Resultados!F47,1,0),0)</f>
        <v/>
      </c>
    </row>
    <row r="48" ht="15" customHeight="1">
      <c r="A48" s="40" t="n">
        <v>44</v>
      </c>
      <c r="B48" s="40" t="inlineStr">
        <is>
          <t>J</t>
        </is>
      </c>
      <c r="C48" s="46" t="inlineStr">
        <is>
          <t>Jordânia</t>
        </is>
      </c>
      <c r="D48" s="41" t="n">
        <v>0</v>
      </c>
      <c r="E48" s="33" t="inlineStr">
        <is>
          <t>X</t>
        </is>
      </c>
      <c r="F48" s="41" t="n">
        <v>0</v>
      </c>
      <c r="G48" s="46" t="inlineStr">
        <is>
          <t>Argélia</t>
        </is>
      </c>
      <c r="H48" s="42" t="n">
        <v>46196</v>
      </c>
      <c r="I48" s="43" t="n">
        <v>46196</v>
      </c>
      <c r="J48" s="44" t="n">
        <v>0.04166666666666666</v>
      </c>
      <c r="K48">
        <f>IF(AND(ISNUMBER(D48),ISNUMBER(F48),ISNUMBER(Resultados!D48),ISNUMBER(Resultados!F48)),IF(SIGN(D48-F48)=SIGN(Resultados!D48-Resultados!F48),2,0)+IF(D48=Resultados!D48,1,0)+IF(F48=Resultados!F48,1,0)+IF(D48+F48=Resultados!D48+Resultados!F48,1,0),0)</f>
        <v/>
      </c>
    </row>
    <row r="49" ht="15" customHeight="1">
      <c r="A49" s="40" t="n">
        <v>45</v>
      </c>
      <c r="B49" s="40" t="inlineStr">
        <is>
          <t>K</t>
        </is>
      </c>
      <c r="C49" s="46" t="inlineStr">
        <is>
          <t>Portugal</t>
        </is>
      </c>
      <c r="D49" s="41" t="n">
        <v>3</v>
      </c>
      <c r="E49" s="33" t="inlineStr">
        <is>
          <t>X</t>
        </is>
      </c>
      <c r="F49" s="41" t="n">
        <v>1</v>
      </c>
      <c r="G49" s="46" t="inlineStr">
        <is>
          <t>Uzbequistão</t>
        </is>
      </c>
      <c r="H49" s="42" t="n">
        <v>46196</v>
      </c>
      <c r="I49" s="43" t="n">
        <v>46196</v>
      </c>
      <c r="J49" s="44" t="n">
        <v>0.5833333333333334</v>
      </c>
      <c r="K49">
        <f>IF(AND(ISNUMBER(D49),ISNUMBER(F49),ISNUMBER(Resultados!D49),ISNUMBER(Resultados!F49)),IF(SIGN(D49-F49)=SIGN(Resultados!D49-Resultados!F49),2,0)+IF(D49=Resultados!D49,1,0)+IF(F49=Resultados!F49,1,0)+IF(D49+F49=Resultados!D49+Resultados!F49,1,0),0)</f>
        <v/>
      </c>
    </row>
    <row r="50" ht="15" customHeight="1">
      <c r="A50" s="40" t="n">
        <v>46</v>
      </c>
      <c r="B50" s="40" t="inlineStr">
        <is>
          <t>L</t>
        </is>
      </c>
      <c r="C50" s="46" t="inlineStr">
        <is>
          <t>Inglaterra</t>
        </is>
      </c>
      <c r="D50" s="41" t="n">
        <v>0</v>
      </c>
      <c r="E50" s="33" t="inlineStr">
        <is>
          <t>X</t>
        </is>
      </c>
      <c r="F50" s="41" t="n">
        <v>1</v>
      </c>
      <c r="G50" s="46" t="inlineStr">
        <is>
          <t>Gana</t>
        </is>
      </c>
      <c r="H50" s="42" t="n">
        <v>46196</v>
      </c>
      <c r="I50" s="43" t="n">
        <v>46196</v>
      </c>
      <c r="J50" s="44" t="n">
        <v>0.7083333333333334</v>
      </c>
      <c r="K50">
        <f>IF(AND(ISNUMBER(D50),ISNUMBER(F50),ISNUMBER(Resultados!D50),ISNUMBER(Resultados!F50)),IF(SIGN(D50-F50)=SIGN(Resultados!D50-Resultados!F50),2,0)+IF(D50=Resultados!D50,1,0)+IF(F50=Resultados!F50,1,0)+IF(D50+F50=Resultados!D50+Resultados!F50,1,0),0)</f>
        <v/>
      </c>
    </row>
    <row r="51" ht="15" customHeight="1">
      <c r="A51" s="40" t="n">
        <v>47</v>
      </c>
      <c r="B51" s="40" t="inlineStr">
        <is>
          <t>L</t>
        </is>
      </c>
      <c r="C51" s="46" t="inlineStr">
        <is>
          <t>Panamá</t>
        </is>
      </c>
      <c r="D51" s="41" t="n">
        <v>0</v>
      </c>
      <c r="E51" s="33" t="inlineStr">
        <is>
          <t>X</t>
        </is>
      </c>
      <c r="F51" s="41" t="n">
        <v>2</v>
      </c>
      <c r="G51" s="46" t="inlineStr">
        <is>
          <t>Croácia</t>
        </is>
      </c>
      <c r="H51" s="42" t="n">
        <v>46196</v>
      </c>
      <c r="I51" s="43" t="n">
        <v>46196</v>
      </c>
      <c r="J51" s="44" t="n">
        <v>0.8333333333333334</v>
      </c>
      <c r="K51">
        <f>IF(AND(ISNUMBER(D51),ISNUMBER(F51),ISNUMBER(Resultados!D51),ISNUMBER(Resultados!F51)),IF(SIGN(D51-F51)=SIGN(Resultados!D51-Resultados!F51),2,0)+IF(D51=Resultados!D51,1,0)+IF(F51=Resultados!F51,1,0)+IF(D51+F51=Resultados!D51+Resultados!F51,1,0),0)</f>
        <v/>
      </c>
    </row>
    <row r="52" ht="15" customHeight="1">
      <c r="A52" s="40" t="n">
        <v>48</v>
      </c>
      <c r="B52" s="40" t="inlineStr">
        <is>
          <t>K</t>
        </is>
      </c>
      <c r="C52" s="46" t="inlineStr">
        <is>
          <t>Colômbia</t>
        </is>
      </c>
      <c r="D52" s="41" t="n">
        <v>1</v>
      </c>
      <c r="E52" s="33" t="inlineStr">
        <is>
          <t>X</t>
        </is>
      </c>
      <c r="F52" s="41" t="n">
        <v>3</v>
      </c>
      <c r="G52" s="46" t="inlineStr">
        <is>
          <t>RD Congo</t>
        </is>
      </c>
      <c r="H52" s="42" t="n">
        <v>46196</v>
      </c>
      <c r="I52" s="43" t="n">
        <v>46196</v>
      </c>
      <c r="J52" s="44" t="n">
        <v>0.9583333333333334</v>
      </c>
      <c r="K52">
        <f>IF(AND(ISNUMBER(D52),ISNUMBER(F52),ISNUMBER(Resultados!D52),ISNUMBER(Resultados!F52)),IF(SIGN(D52-F52)=SIGN(Resultados!D52-Resultados!F52),2,0)+IF(D52=Resultados!D52,1,0)+IF(F52=Resultados!F52,1,0)+IF(D52+F52=Resultados!D52+Resultados!F52,1,0),0)</f>
        <v/>
      </c>
    </row>
    <row r="53" ht="15" customHeight="1">
      <c r="A53" s="40" t="n">
        <v>49</v>
      </c>
      <c r="B53" s="40" t="inlineStr">
        <is>
          <t>B</t>
        </is>
      </c>
      <c r="C53" s="46" t="inlineStr">
        <is>
          <t>Suíça</t>
        </is>
      </c>
      <c r="D53" s="41" t="n">
        <v>0</v>
      </c>
      <c r="E53" s="33" t="inlineStr">
        <is>
          <t>X</t>
        </is>
      </c>
      <c r="F53" s="41" t="n">
        <v>3</v>
      </c>
      <c r="G53" s="46" t="inlineStr">
        <is>
          <t>Canadá</t>
        </is>
      </c>
      <c r="H53" s="42" t="n">
        <v>46197</v>
      </c>
      <c r="I53" s="43" t="n">
        <v>46197</v>
      </c>
      <c r="J53" s="44" t="n">
        <v>0.6666666666666666</v>
      </c>
      <c r="K53">
        <f>IF(AND(ISNUMBER(D53),ISNUMBER(F53),ISNUMBER(Resultados!D53),ISNUMBER(Resultados!F53)),IF(SIGN(D53-F53)=SIGN(Resultados!D53-Resultados!F53),2,0)+IF(D53=Resultados!D53,1,0)+IF(F53=Resultados!F53,1,0)+IF(D53+F53=Resultados!D53+Resultados!F53,1,0),0)</f>
        <v/>
      </c>
    </row>
    <row r="54" ht="15" customHeight="1">
      <c r="A54" s="40" t="n">
        <v>50</v>
      </c>
      <c r="B54" s="40" t="inlineStr">
        <is>
          <t>B</t>
        </is>
      </c>
      <c r="C54" s="46" t="inlineStr">
        <is>
          <t>Bósnia</t>
        </is>
      </c>
      <c r="D54" s="41" t="n">
        <v>2</v>
      </c>
      <c r="E54" s="33" t="inlineStr">
        <is>
          <t>X</t>
        </is>
      </c>
      <c r="F54" s="41" t="n">
        <v>0</v>
      </c>
      <c r="G54" s="46" t="inlineStr">
        <is>
          <t>Catar</t>
        </is>
      </c>
      <c r="H54" s="42" t="n">
        <v>46197</v>
      </c>
      <c r="I54" s="43" t="n">
        <v>46197</v>
      </c>
      <c r="J54" s="44" t="n">
        <v>0.6666666666666666</v>
      </c>
      <c r="K54">
        <f>IF(AND(ISNUMBER(D54),ISNUMBER(F54),ISNUMBER(Resultados!D54),ISNUMBER(Resultados!F54)),IF(SIGN(D54-F54)=SIGN(Resultados!D54-Resultados!F54),2,0)+IF(D54=Resultados!D54,1,0)+IF(F54=Resultados!F54,1,0)+IF(D54+F54=Resultados!D54+Resultados!F54,1,0),0)</f>
        <v/>
      </c>
    </row>
    <row r="55" ht="15" customHeight="1">
      <c r="A55" s="40" t="n">
        <v>51</v>
      </c>
      <c r="B55" s="40" t="inlineStr">
        <is>
          <t>C</t>
        </is>
      </c>
      <c r="C55" s="46" t="inlineStr">
        <is>
          <t>Escócia</t>
        </is>
      </c>
      <c r="D55" s="41" t="n">
        <v>0</v>
      </c>
      <c r="E55" s="33" t="inlineStr">
        <is>
          <t>X</t>
        </is>
      </c>
      <c r="F55" s="41" t="n">
        <v>0</v>
      </c>
      <c r="G55" s="47" t="inlineStr">
        <is>
          <t>Brasil</t>
        </is>
      </c>
      <c r="H55" s="42" t="n">
        <v>46197</v>
      </c>
      <c r="I55" s="43" t="n">
        <v>46197</v>
      </c>
      <c r="J55" s="44" t="n">
        <v>0.7916666666666666</v>
      </c>
      <c r="K55">
        <f>IF(AND(ISNUMBER(D55),ISNUMBER(F55),ISNUMBER(Resultados!D55),ISNUMBER(Resultados!F55)),IF(SIGN(D55-F55)=SIGN(Resultados!D55-Resultados!F55),2,0)+IF(D55=Resultados!D55,1,0)+IF(F55=Resultados!F55,1,0)+IF(D55+F55=Resultados!D55+Resultados!F55,1,0),0)</f>
        <v/>
      </c>
    </row>
    <row r="56" ht="15" customHeight="1">
      <c r="A56" s="40" t="n">
        <v>52</v>
      </c>
      <c r="B56" s="40" t="inlineStr">
        <is>
          <t>C</t>
        </is>
      </c>
      <c r="C56" s="46" t="inlineStr">
        <is>
          <t>Marrocos</t>
        </is>
      </c>
      <c r="D56" s="41" t="n">
        <v>2</v>
      </c>
      <c r="E56" s="33" t="inlineStr">
        <is>
          <t>X</t>
        </is>
      </c>
      <c r="F56" s="41" t="n">
        <v>1</v>
      </c>
      <c r="G56" s="46" t="inlineStr">
        <is>
          <t>Haiti</t>
        </is>
      </c>
      <c r="H56" s="42" t="n">
        <v>46197</v>
      </c>
      <c r="I56" s="43" t="n">
        <v>46197</v>
      </c>
      <c r="J56" s="44" t="n">
        <v>0.7916666666666666</v>
      </c>
      <c r="K56">
        <f>IF(AND(ISNUMBER(D56),ISNUMBER(F56),ISNUMBER(Resultados!D56),ISNUMBER(Resultados!F56)),IF(SIGN(D56-F56)=SIGN(Resultados!D56-Resultados!F56),2,0)+IF(D56=Resultados!D56,1,0)+IF(F56=Resultados!F56,1,0)+IF(D56+F56=Resultados!D56+Resultados!F56,1,0),0)</f>
        <v/>
      </c>
    </row>
    <row r="57" ht="15" customHeight="1">
      <c r="A57" s="40" t="n">
        <v>53</v>
      </c>
      <c r="B57" s="40" t="inlineStr">
        <is>
          <t>A</t>
        </is>
      </c>
      <c r="C57" s="46" t="inlineStr">
        <is>
          <t>Tchéquia</t>
        </is>
      </c>
      <c r="D57" s="41" t="n">
        <v>2</v>
      </c>
      <c r="E57" s="33" t="inlineStr">
        <is>
          <t>X</t>
        </is>
      </c>
      <c r="F57" s="41" t="n">
        <v>2</v>
      </c>
      <c r="G57" s="46" t="inlineStr">
        <is>
          <t>México</t>
        </is>
      </c>
      <c r="H57" s="42" t="n">
        <v>46197</v>
      </c>
      <c r="I57" s="43" t="n">
        <v>46197</v>
      </c>
      <c r="J57" s="44" t="n">
        <v>0.9166666666666666</v>
      </c>
      <c r="K57">
        <f>IF(AND(ISNUMBER(D57),ISNUMBER(F57),ISNUMBER(Resultados!D57),ISNUMBER(Resultados!F57)),IF(SIGN(D57-F57)=SIGN(Resultados!D57-Resultados!F57),2,0)+IF(D57=Resultados!D57,1,0)+IF(F57=Resultados!F57,1,0)+IF(D57+F57=Resultados!D57+Resultados!F57,1,0),0)</f>
        <v/>
      </c>
    </row>
    <row r="58" ht="15" customHeight="1">
      <c r="A58" s="40" t="n">
        <v>54</v>
      </c>
      <c r="B58" s="40" t="inlineStr">
        <is>
          <t>A</t>
        </is>
      </c>
      <c r="C58" s="46" t="inlineStr">
        <is>
          <t>África do Sul</t>
        </is>
      </c>
      <c r="D58" s="41" t="n">
        <v>2</v>
      </c>
      <c r="E58" s="33" t="inlineStr">
        <is>
          <t>X</t>
        </is>
      </c>
      <c r="F58" s="41" t="n">
        <v>3</v>
      </c>
      <c r="G58" s="46" t="inlineStr">
        <is>
          <t>Coreia do Sul</t>
        </is>
      </c>
      <c r="H58" s="42" t="n">
        <v>46197</v>
      </c>
      <c r="I58" s="43" t="n">
        <v>46197</v>
      </c>
      <c r="J58" s="44" t="n">
        <v>0.9166666666666666</v>
      </c>
      <c r="K58">
        <f>IF(AND(ISNUMBER(D58),ISNUMBER(F58),ISNUMBER(Resultados!D58),ISNUMBER(Resultados!F58)),IF(SIGN(D58-F58)=SIGN(Resultados!D58-Resultados!F58),2,0)+IF(D58=Resultados!D58,1,0)+IF(F58=Resultados!F58,1,0)+IF(D58+F58=Resultados!D58+Resultados!F58,1,0),0)</f>
        <v/>
      </c>
    </row>
    <row r="59" ht="15" customHeight="1">
      <c r="A59" s="40" t="n">
        <v>55</v>
      </c>
      <c r="B59" s="40" t="inlineStr">
        <is>
          <t>E</t>
        </is>
      </c>
      <c r="C59" s="46" t="inlineStr">
        <is>
          <t>Equador</t>
        </is>
      </c>
      <c r="D59" s="41" t="n">
        <v>2</v>
      </c>
      <c r="E59" s="33" t="inlineStr">
        <is>
          <t>X</t>
        </is>
      </c>
      <c r="F59" s="41" t="n">
        <v>0</v>
      </c>
      <c r="G59" s="46" t="inlineStr">
        <is>
          <t>Alemanha</t>
        </is>
      </c>
      <c r="H59" s="42" t="n">
        <v>46198</v>
      </c>
      <c r="I59" s="43" t="n">
        <v>46198</v>
      </c>
      <c r="J59" s="44" t="n">
        <v>0.6666666666666666</v>
      </c>
      <c r="K59">
        <f>IF(AND(ISNUMBER(D59),ISNUMBER(F59),ISNUMBER(Resultados!D59),ISNUMBER(Resultados!F59)),IF(SIGN(D59-F59)=SIGN(Resultados!D59-Resultados!F59),2,0)+IF(D59=Resultados!D59,1,0)+IF(F59=Resultados!F59,1,0)+IF(D59+F59=Resultados!D59+Resultados!F59,1,0),0)</f>
        <v/>
      </c>
    </row>
    <row r="60" ht="15" customHeight="1">
      <c r="A60" s="40" t="n">
        <v>56</v>
      </c>
      <c r="B60" s="40" t="inlineStr">
        <is>
          <t>E</t>
        </is>
      </c>
      <c r="C60" s="46" t="inlineStr">
        <is>
          <t>Curaçau</t>
        </is>
      </c>
      <c r="D60" s="41" t="n">
        <v>3</v>
      </c>
      <c r="E60" s="33" t="inlineStr">
        <is>
          <t>X</t>
        </is>
      </c>
      <c r="F60" s="41" t="n">
        <v>2</v>
      </c>
      <c r="G60" s="46" t="inlineStr">
        <is>
          <t>Costa do Marfim</t>
        </is>
      </c>
      <c r="H60" s="42" t="n">
        <v>46198</v>
      </c>
      <c r="I60" s="43" t="n">
        <v>46198</v>
      </c>
      <c r="J60" s="44" t="n">
        <v>0.6666666666666666</v>
      </c>
      <c r="K60">
        <f>IF(AND(ISNUMBER(D60),ISNUMBER(F60),ISNUMBER(Resultados!D60),ISNUMBER(Resultados!F60)),IF(SIGN(D60-F60)=SIGN(Resultados!D60-Resultados!F60),2,0)+IF(D60=Resultados!D60,1,0)+IF(F60=Resultados!F60,1,0)+IF(D60+F60=Resultados!D60+Resultados!F60,1,0),0)</f>
        <v/>
      </c>
    </row>
    <row r="61" ht="15" customHeight="1">
      <c r="A61" s="40" t="n">
        <v>57</v>
      </c>
      <c r="B61" s="40" t="inlineStr">
        <is>
          <t>D</t>
        </is>
      </c>
      <c r="C61" s="46" t="inlineStr">
        <is>
          <t>Turquia</t>
        </is>
      </c>
      <c r="D61" s="41" t="n">
        <v>1</v>
      </c>
      <c r="E61" s="33" t="inlineStr">
        <is>
          <t>X</t>
        </is>
      </c>
      <c r="F61" s="41" t="n">
        <v>1</v>
      </c>
      <c r="G61" s="46" t="inlineStr">
        <is>
          <t>EUA</t>
        </is>
      </c>
      <c r="H61" s="42" t="n">
        <v>46198</v>
      </c>
      <c r="I61" s="43" t="n">
        <v>46198</v>
      </c>
      <c r="J61" s="44" t="n">
        <v>0.7916666666666666</v>
      </c>
      <c r="K61">
        <f>IF(AND(ISNUMBER(D61),ISNUMBER(F61),ISNUMBER(Resultados!D61),ISNUMBER(Resultados!F61)),IF(SIGN(D61-F61)=SIGN(Resultados!D61-Resultados!F61),2,0)+IF(D61=Resultados!D61,1,0)+IF(F61=Resultados!F61,1,0)+IF(D61+F61=Resultados!D61+Resultados!F61,1,0),0)</f>
        <v/>
      </c>
    </row>
    <row r="62" ht="15" customHeight="1">
      <c r="A62" s="40" t="n">
        <v>58</v>
      </c>
      <c r="B62" s="40" t="inlineStr">
        <is>
          <t>D</t>
        </is>
      </c>
      <c r="C62" s="46" t="inlineStr">
        <is>
          <t>Paraguai</t>
        </is>
      </c>
      <c r="D62" s="41" t="n">
        <v>3</v>
      </c>
      <c r="E62" s="33" t="inlineStr">
        <is>
          <t>X</t>
        </is>
      </c>
      <c r="F62" s="41" t="n">
        <v>0</v>
      </c>
      <c r="G62" s="46" t="inlineStr">
        <is>
          <t>Austrália</t>
        </is>
      </c>
      <c r="H62" s="42" t="n">
        <v>46198</v>
      </c>
      <c r="I62" s="43" t="n">
        <v>46198</v>
      </c>
      <c r="J62" s="44" t="n">
        <v>0.7916666666666666</v>
      </c>
      <c r="K62">
        <f>IF(AND(ISNUMBER(D62),ISNUMBER(F62),ISNUMBER(Resultados!D62),ISNUMBER(Resultados!F62)),IF(SIGN(D62-F62)=SIGN(Resultados!D62-Resultados!F62),2,0)+IF(D62=Resultados!D62,1,0)+IF(F62=Resultados!F62,1,0)+IF(D62+F62=Resultados!D62+Resultados!F62,1,0),0)</f>
        <v/>
      </c>
    </row>
    <row r="63" ht="15" customHeight="1">
      <c r="A63" s="40" t="n">
        <v>59</v>
      </c>
      <c r="B63" s="40" t="inlineStr">
        <is>
          <t>F</t>
        </is>
      </c>
      <c r="C63" s="46" t="inlineStr">
        <is>
          <t>Tunísia</t>
        </is>
      </c>
      <c r="D63" s="41" t="n">
        <v>3</v>
      </c>
      <c r="E63" s="33" t="inlineStr">
        <is>
          <t>X</t>
        </is>
      </c>
      <c r="F63" s="41" t="n">
        <v>1</v>
      </c>
      <c r="G63" s="46" t="inlineStr">
        <is>
          <t>Holanda</t>
        </is>
      </c>
      <c r="H63" s="42" t="n">
        <v>46198</v>
      </c>
      <c r="I63" s="43" t="n">
        <v>46198</v>
      </c>
      <c r="J63" s="44" t="n">
        <v>0.9166666666666666</v>
      </c>
      <c r="K63">
        <f>IF(AND(ISNUMBER(D63),ISNUMBER(F63),ISNUMBER(Resultados!D63),ISNUMBER(Resultados!F63)),IF(SIGN(D63-F63)=SIGN(Resultados!D63-Resultados!F63),2,0)+IF(D63=Resultados!D63,1,0)+IF(F63=Resultados!F63,1,0)+IF(D63+F63=Resultados!D63+Resultados!F63,1,0),0)</f>
        <v/>
      </c>
    </row>
    <row r="64" ht="15" customHeight="1">
      <c r="A64" s="40" t="n">
        <v>60</v>
      </c>
      <c r="B64" s="40" t="inlineStr">
        <is>
          <t>F</t>
        </is>
      </c>
      <c r="C64" s="46" t="inlineStr">
        <is>
          <t>Japão</t>
        </is>
      </c>
      <c r="D64" s="41" t="n">
        <v>1</v>
      </c>
      <c r="E64" s="33" t="inlineStr">
        <is>
          <t>X</t>
        </is>
      </c>
      <c r="F64" s="41" t="n">
        <v>0</v>
      </c>
      <c r="G64" s="46" t="inlineStr">
        <is>
          <t>Suécia</t>
        </is>
      </c>
      <c r="H64" s="42" t="n">
        <v>46198</v>
      </c>
      <c r="I64" s="43" t="n">
        <v>46198</v>
      </c>
      <c r="J64" s="44" t="n">
        <v>0.9166666666666666</v>
      </c>
      <c r="K64">
        <f>IF(AND(ISNUMBER(D64),ISNUMBER(F64),ISNUMBER(Resultados!D64),ISNUMBER(Resultados!F64)),IF(SIGN(D64-F64)=SIGN(Resultados!D64-Resultados!F64),2,0)+IF(D64=Resultados!D64,1,0)+IF(F64=Resultados!F64,1,0)+IF(D64+F64=Resultados!D64+Resultados!F64,1,0),0)</f>
        <v/>
      </c>
    </row>
    <row r="65" ht="15" customHeight="1">
      <c r="A65" s="40" t="n">
        <v>61</v>
      </c>
      <c r="B65" s="40" t="inlineStr">
        <is>
          <t>I</t>
        </is>
      </c>
      <c r="C65" s="46" t="inlineStr">
        <is>
          <t>Noruega</t>
        </is>
      </c>
      <c r="D65" s="41" t="n">
        <v>2</v>
      </c>
      <c r="E65" s="33" t="inlineStr">
        <is>
          <t>X</t>
        </is>
      </c>
      <c r="F65" s="41" t="n">
        <v>1</v>
      </c>
      <c r="G65" s="46" t="inlineStr">
        <is>
          <t>França</t>
        </is>
      </c>
      <c r="H65" s="42" t="n">
        <v>46199</v>
      </c>
      <c r="I65" s="43" t="n">
        <v>46199</v>
      </c>
      <c r="J65" s="44" t="n">
        <v>0.6666666666666666</v>
      </c>
      <c r="K65">
        <f>IF(AND(ISNUMBER(D65),ISNUMBER(F65),ISNUMBER(Resultados!D65),ISNUMBER(Resultados!F65)),IF(SIGN(D65-F65)=SIGN(Resultados!D65-Resultados!F65),2,0)+IF(D65=Resultados!D65,1,0)+IF(F65=Resultados!F65,1,0)+IF(D65+F65=Resultados!D65+Resultados!F65,1,0),0)</f>
        <v/>
      </c>
    </row>
    <row r="66" ht="15" customHeight="1">
      <c r="A66" s="40" t="n">
        <v>62</v>
      </c>
      <c r="B66" s="40" t="inlineStr">
        <is>
          <t>I</t>
        </is>
      </c>
      <c r="C66" s="46" t="inlineStr">
        <is>
          <t>Senegal</t>
        </is>
      </c>
      <c r="D66" s="41" t="n">
        <v>3</v>
      </c>
      <c r="E66" s="33" t="inlineStr">
        <is>
          <t>X</t>
        </is>
      </c>
      <c r="F66" s="41" t="n">
        <v>2</v>
      </c>
      <c r="G66" s="46" t="inlineStr">
        <is>
          <t>Iraque</t>
        </is>
      </c>
      <c r="H66" s="42" t="n">
        <v>46199</v>
      </c>
      <c r="I66" s="43" t="n">
        <v>46199</v>
      </c>
      <c r="J66" s="44" t="n">
        <v>0.6666666666666666</v>
      </c>
      <c r="K66">
        <f>IF(AND(ISNUMBER(D66),ISNUMBER(F66),ISNUMBER(Resultados!D66),ISNUMBER(Resultados!F66)),IF(SIGN(D66-F66)=SIGN(Resultados!D66-Resultados!F66),2,0)+IF(D66=Resultados!D66,1,0)+IF(F66=Resultados!F66,1,0)+IF(D66+F66=Resultados!D66+Resultados!F66,1,0),0)</f>
        <v/>
      </c>
    </row>
    <row r="67" ht="15" customHeight="1">
      <c r="A67" s="40" t="n">
        <v>63</v>
      </c>
      <c r="B67" s="40" t="inlineStr">
        <is>
          <t>H</t>
        </is>
      </c>
      <c r="C67" s="46" t="inlineStr">
        <is>
          <t>Uruguai</t>
        </is>
      </c>
      <c r="D67" s="41" t="n">
        <v>0</v>
      </c>
      <c r="E67" s="33" t="inlineStr">
        <is>
          <t>X</t>
        </is>
      </c>
      <c r="F67" s="41" t="n">
        <v>1</v>
      </c>
      <c r="G67" s="46" t="inlineStr">
        <is>
          <t>Espanha</t>
        </is>
      </c>
      <c r="H67" s="42" t="n">
        <v>46199</v>
      </c>
      <c r="I67" s="43" t="n">
        <v>46199</v>
      </c>
      <c r="J67" s="44" t="n">
        <v>0.875</v>
      </c>
      <c r="K67">
        <f>IF(AND(ISNUMBER(D67),ISNUMBER(F67),ISNUMBER(Resultados!D67),ISNUMBER(Resultados!F67)),IF(SIGN(D67-F67)=SIGN(Resultados!D67-Resultados!F67),2,0)+IF(D67=Resultados!D67,1,0)+IF(F67=Resultados!F67,1,0)+IF(D67+F67=Resultados!D67+Resultados!F67,1,0),0)</f>
        <v/>
      </c>
    </row>
    <row r="68" ht="15" customHeight="1">
      <c r="A68" s="40" t="n">
        <v>64</v>
      </c>
      <c r="B68" s="40" t="inlineStr">
        <is>
          <t>H</t>
        </is>
      </c>
      <c r="C68" s="46" t="inlineStr">
        <is>
          <t>Cabo Verde</t>
        </is>
      </c>
      <c r="D68" s="41" t="n">
        <v>0</v>
      </c>
      <c r="E68" s="33" t="inlineStr">
        <is>
          <t>X</t>
        </is>
      </c>
      <c r="F68" s="41" t="n">
        <v>3</v>
      </c>
      <c r="G68" s="46" t="inlineStr">
        <is>
          <t>Arábia Saudita</t>
        </is>
      </c>
      <c r="H68" s="42" t="n">
        <v>46199</v>
      </c>
      <c r="I68" s="43" t="n">
        <v>46199</v>
      </c>
      <c r="J68" s="44" t="n">
        <v>0.875</v>
      </c>
      <c r="K68">
        <f>IF(AND(ISNUMBER(D68),ISNUMBER(F68),ISNUMBER(Resultados!D68),ISNUMBER(Resultados!F68)),IF(SIGN(D68-F68)=SIGN(Resultados!D68-Resultados!F68),2,0)+IF(D68=Resultados!D68,1,0)+IF(F68=Resultados!F68,1,0)+IF(D68+F68=Resultados!D68+Resultados!F68,1,0),0)</f>
        <v/>
      </c>
    </row>
    <row r="69" ht="15" customHeight="1">
      <c r="A69" s="40" t="n">
        <v>65</v>
      </c>
      <c r="B69" s="40" t="inlineStr">
        <is>
          <t>G</t>
        </is>
      </c>
      <c r="C69" s="46" t="inlineStr">
        <is>
          <t>Egito</t>
        </is>
      </c>
      <c r="D69" s="41" t="n">
        <v>0</v>
      </c>
      <c r="E69" s="33" t="inlineStr">
        <is>
          <t>X</t>
        </is>
      </c>
      <c r="F69" s="41" t="n">
        <v>2</v>
      </c>
      <c r="G69" s="46" t="inlineStr">
        <is>
          <t>Irã</t>
        </is>
      </c>
      <c r="H69" s="42" t="n">
        <v>46199</v>
      </c>
      <c r="I69" s="43" t="n">
        <v>46199</v>
      </c>
      <c r="J69" s="44" t="n">
        <v>0.9583333333333334</v>
      </c>
      <c r="K69">
        <f>IF(AND(ISNUMBER(D69),ISNUMBER(F69),ISNUMBER(Resultados!D69),ISNUMBER(Resultados!F69)),IF(SIGN(D69-F69)=SIGN(Resultados!D69-Resultados!F69),2,0)+IF(D69=Resultados!D69,1,0)+IF(F69=Resultados!F69,1,0)+IF(D69+F69=Resultados!D69+Resultados!F69,1,0),0)</f>
        <v/>
      </c>
    </row>
    <row r="70" ht="15" customHeight="1">
      <c r="A70" s="40" t="n">
        <v>66</v>
      </c>
      <c r="B70" s="40" t="inlineStr">
        <is>
          <t>G</t>
        </is>
      </c>
      <c r="C70" s="46" t="inlineStr">
        <is>
          <t>Nova Zelândia</t>
        </is>
      </c>
      <c r="D70" s="41" t="n">
        <v>3</v>
      </c>
      <c r="E70" s="33" t="inlineStr">
        <is>
          <t>X</t>
        </is>
      </c>
      <c r="F70" s="41" t="n">
        <v>2</v>
      </c>
      <c r="G70" s="46" t="inlineStr">
        <is>
          <t>Bélgica</t>
        </is>
      </c>
      <c r="H70" s="42" t="n">
        <v>46199</v>
      </c>
      <c r="I70" s="43" t="n">
        <v>46199</v>
      </c>
      <c r="J70" s="44" t="n">
        <v>0.9583333333333334</v>
      </c>
      <c r="K70">
        <f>IF(AND(ISNUMBER(D70),ISNUMBER(F70),ISNUMBER(Resultados!D70),ISNUMBER(Resultados!F70)),IF(SIGN(D70-F70)=SIGN(Resultados!D70-Resultados!F70),2,0)+IF(D70=Resultados!D70,1,0)+IF(F70=Resultados!F70,1,0)+IF(D70+F70=Resultados!D70+Resultados!F70,1,0),0)</f>
        <v/>
      </c>
    </row>
    <row r="71" ht="15" customHeight="1">
      <c r="A71" s="40" t="n">
        <v>67</v>
      </c>
      <c r="B71" s="40" t="inlineStr">
        <is>
          <t>J</t>
        </is>
      </c>
      <c r="C71" s="46" t="inlineStr">
        <is>
          <t>Argélia</t>
        </is>
      </c>
      <c r="D71" s="41" t="n">
        <v>3</v>
      </c>
      <c r="E71" s="33" t="inlineStr">
        <is>
          <t>X</t>
        </is>
      </c>
      <c r="F71" s="41" t="n">
        <v>1</v>
      </c>
      <c r="G71" s="46" t="inlineStr">
        <is>
          <t>Áustria</t>
        </is>
      </c>
      <c r="H71" s="42" t="n">
        <v>46200</v>
      </c>
      <c r="I71" s="43" t="n">
        <v>46200</v>
      </c>
      <c r="J71" s="44" t="n">
        <v>0.6666666666666666</v>
      </c>
      <c r="K71">
        <f>IF(AND(ISNUMBER(D71),ISNUMBER(F71),ISNUMBER(Resultados!D71),ISNUMBER(Resultados!F71)),IF(SIGN(D71-F71)=SIGN(Resultados!D71-Resultados!F71),2,0)+IF(D71=Resultados!D71,1,0)+IF(F71=Resultados!F71,1,0)+IF(D71+F71=Resultados!D71+Resultados!F71,1,0),0)</f>
        <v/>
      </c>
    </row>
    <row r="72" ht="15" customHeight="1">
      <c r="A72" s="40" t="n">
        <v>68</v>
      </c>
      <c r="B72" s="40" t="inlineStr">
        <is>
          <t>J</t>
        </is>
      </c>
      <c r="C72" s="46" t="inlineStr">
        <is>
          <t>Jordânia</t>
        </is>
      </c>
      <c r="D72" s="41" t="n">
        <v>2</v>
      </c>
      <c r="E72" s="33" t="inlineStr">
        <is>
          <t>X</t>
        </is>
      </c>
      <c r="F72" s="41" t="n">
        <v>1</v>
      </c>
      <c r="G72" s="46" t="inlineStr">
        <is>
          <t>Argentina</t>
        </is>
      </c>
      <c r="H72" s="42" t="n">
        <v>46200</v>
      </c>
      <c r="I72" s="43" t="n">
        <v>46200</v>
      </c>
      <c r="J72" s="44" t="n">
        <v>0.6666666666666666</v>
      </c>
      <c r="K72">
        <f>IF(AND(ISNUMBER(D72),ISNUMBER(F72),ISNUMBER(Resultados!D72),ISNUMBER(Resultados!F72)),IF(SIGN(D72-F72)=SIGN(Resultados!D72-Resultados!F72),2,0)+IF(D72=Resultados!D72,1,0)+IF(F72=Resultados!F72,1,0)+IF(D72+F72=Resultados!D72+Resultados!F72,1,0),0)</f>
        <v/>
      </c>
    </row>
    <row r="73" ht="15" customHeight="1">
      <c r="A73" s="40" t="n">
        <v>69</v>
      </c>
      <c r="B73" s="40" t="inlineStr">
        <is>
          <t>L</t>
        </is>
      </c>
      <c r="C73" s="46" t="inlineStr">
        <is>
          <t>Panamá</t>
        </is>
      </c>
      <c r="D73" s="41" t="n">
        <v>3</v>
      </c>
      <c r="E73" s="33" t="inlineStr">
        <is>
          <t>X</t>
        </is>
      </c>
      <c r="F73" s="41" t="n">
        <v>2</v>
      </c>
      <c r="G73" s="46" t="inlineStr">
        <is>
          <t>Inglaterra</t>
        </is>
      </c>
      <c r="H73" s="42" t="n">
        <v>46200</v>
      </c>
      <c r="I73" s="43" t="n">
        <v>46200</v>
      </c>
      <c r="J73" s="44" t="n">
        <v>0.7916666666666666</v>
      </c>
      <c r="K73">
        <f>IF(AND(ISNUMBER(D73),ISNUMBER(F73),ISNUMBER(Resultados!D73),ISNUMBER(Resultados!F73)),IF(SIGN(D73-F73)=SIGN(Resultados!D73-Resultados!F73),2,0)+IF(D73=Resultados!D73,1,0)+IF(F73=Resultados!F73,1,0)+IF(D73+F73=Resultados!D73+Resultados!F73,1,0),0)</f>
        <v/>
      </c>
    </row>
    <row r="74" ht="15" customHeight="1">
      <c r="A74" s="40" t="n">
        <v>70</v>
      </c>
      <c r="B74" s="40" t="inlineStr">
        <is>
          <t>L</t>
        </is>
      </c>
      <c r="C74" s="46" t="inlineStr">
        <is>
          <t>Croácia</t>
        </is>
      </c>
      <c r="D74" s="41" t="n">
        <v>3</v>
      </c>
      <c r="E74" s="33" t="inlineStr">
        <is>
          <t>X</t>
        </is>
      </c>
      <c r="F74" s="41" t="n">
        <v>2</v>
      </c>
      <c r="G74" s="46" t="inlineStr">
        <is>
          <t>Gana</t>
        </is>
      </c>
      <c r="H74" s="42" t="n">
        <v>46200</v>
      </c>
      <c r="I74" s="43" t="n">
        <v>46200</v>
      </c>
      <c r="J74" s="44" t="n">
        <v>0.7916666666666666</v>
      </c>
      <c r="K74">
        <f>IF(AND(ISNUMBER(D74),ISNUMBER(F74),ISNUMBER(Resultados!D74),ISNUMBER(Resultados!F74)),IF(SIGN(D74-F74)=SIGN(Resultados!D74-Resultados!F74),2,0)+IF(D74=Resultados!D74,1,0)+IF(F74=Resultados!F74,1,0)+IF(D74+F74=Resultados!D74+Resultados!F74,1,0),0)</f>
        <v/>
      </c>
    </row>
    <row r="75" ht="15" customHeight="1">
      <c r="A75" s="40" t="n">
        <v>71</v>
      </c>
      <c r="B75" s="40" t="inlineStr">
        <is>
          <t>K</t>
        </is>
      </c>
      <c r="C75" s="46" t="inlineStr">
        <is>
          <t>RD Congo</t>
        </is>
      </c>
      <c r="D75" s="41" t="n">
        <v>0</v>
      </c>
      <c r="E75" s="33" t="inlineStr">
        <is>
          <t>X</t>
        </is>
      </c>
      <c r="F75" s="41" t="n">
        <v>0</v>
      </c>
      <c r="G75" s="46" t="inlineStr">
        <is>
          <t>Uzbequistão</t>
        </is>
      </c>
      <c r="H75" s="42" t="n">
        <v>46200</v>
      </c>
      <c r="I75" s="43" t="n">
        <v>46200</v>
      </c>
      <c r="J75" s="44" t="n">
        <v>0.9166666666666666</v>
      </c>
      <c r="K75">
        <f>IF(AND(ISNUMBER(D75),ISNUMBER(F75),ISNUMBER(Resultados!D75),ISNUMBER(Resultados!F75)),IF(SIGN(D75-F75)=SIGN(Resultados!D75-Resultados!F75),2,0)+IF(D75=Resultados!D75,1,0)+IF(F75=Resultados!F75,1,0)+IF(D75+F75=Resultados!D75+Resultados!F75,1,0),0)</f>
        <v/>
      </c>
    </row>
    <row r="76" ht="15" customHeight="1">
      <c r="A76" s="40" t="n">
        <v>72</v>
      </c>
      <c r="B76" s="40" t="inlineStr">
        <is>
          <t>K</t>
        </is>
      </c>
      <c r="C76" s="46" t="inlineStr">
        <is>
          <t>Colômbia</t>
        </is>
      </c>
      <c r="D76" s="41" t="n">
        <v>3</v>
      </c>
      <c r="E76" s="33" t="inlineStr">
        <is>
          <t>X</t>
        </is>
      </c>
      <c r="F76" s="41" t="n">
        <v>2</v>
      </c>
      <c r="G76" s="46" t="inlineStr">
        <is>
          <t>Portugal</t>
        </is>
      </c>
      <c r="H76" s="42" t="n">
        <v>46200</v>
      </c>
      <c r="I76" s="43" t="n">
        <v>46200</v>
      </c>
      <c r="J76" s="44" t="n">
        <v>0.9166666666666666</v>
      </c>
      <c r="K76">
        <f>IF(AND(ISNUMBER(D76),ISNUMBER(F76),ISNUMBER(Resultados!D76),ISNUMBER(Resultados!F76)),IF(SIGN(D76-F76)=SIGN(Resultados!D76-Resultados!F76),2,0)+IF(D76=Resultados!D76,1,0)+IF(F76=Resultados!F76,1,0)+IF(D76+F76=Resultados!D76+Resultados!F76,1,0),0)</f>
        <v/>
      </c>
    </row>
    <row r="77">
      <c r="A77" t="n">
        <v>73</v>
      </c>
      <c r="B77" t="inlineStr">
        <is>
          <t>R32</t>
        </is>
      </c>
      <c r="C77" t="inlineStr">
        <is>
          <t>África do Sul</t>
        </is>
      </c>
      <c r="D77" t="n">
        <v>1</v>
      </c>
      <c r="E77" t="inlineStr">
        <is>
          <t>X</t>
        </is>
      </c>
      <c r="F77" t="n">
        <v>2</v>
      </c>
      <c r="G77" t="inlineStr">
        <is>
          <t>Canadá</t>
        </is>
      </c>
      <c r="H77" t="inlineStr">
        <is>
          <t>2026-06-28</t>
        </is>
      </c>
      <c r="I77">
        <f>H77</f>
        <v/>
      </c>
      <c r="J77" t="inlineStr">
        <is>
          <t>16:00</t>
        </is>
      </c>
      <c r="K77">
        <f>IF(AND(ISNUMBER(D77),ISNUMBER(F77),ISNUMBER(Resultados!D77),ISNUMBER(Resultados!F77)),IF(SIGN(D77-F77)=SIGN(Resultados!D77-Resultados!F77),2,0)+IF(D77=Resultados!D77,1,0)+IF(F77=Resultados!F77,1,0)+IF(D77+F77=Resultados!D77+Resultados!F77,1,0),0)</f>
        <v/>
      </c>
    </row>
    <row r="78">
      <c r="A78" t="n">
        <v>74</v>
      </c>
      <c r="B78" t="inlineStr">
        <is>
          <t>R32</t>
        </is>
      </c>
      <c r="C78" t="inlineStr">
        <is>
          <t>Alemanha</t>
        </is>
      </c>
      <c r="D78" t="n">
        <v>3</v>
      </c>
      <c r="E78" t="inlineStr">
        <is>
          <t>X</t>
        </is>
      </c>
      <c r="F78" t="n">
        <v>1</v>
      </c>
      <c r="G78" t="inlineStr">
        <is>
          <t>Paraguai</t>
        </is>
      </c>
      <c r="H78" t="inlineStr">
        <is>
          <t>2026-06-29</t>
        </is>
      </c>
      <c r="I78">
        <f>H78</f>
        <v/>
      </c>
      <c r="J78" t="inlineStr">
        <is>
          <t>17:30</t>
        </is>
      </c>
      <c r="K78" t="n">
        <v>1</v>
      </c>
    </row>
    <row r="79">
      <c r="A79" t="n">
        <v>75</v>
      </c>
      <c r="B79" t="inlineStr">
        <is>
          <t>R32</t>
        </is>
      </c>
      <c r="C79" t="inlineStr">
        <is>
          <t>Holanda</t>
        </is>
      </c>
      <c r="D79" t="n">
        <v>1</v>
      </c>
      <c r="E79" t="inlineStr">
        <is>
          <t>X</t>
        </is>
      </c>
      <c r="F79" t="n">
        <v>2</v>
      </c>
      <c r="G79" t="inlineStr">
        <is>
          <t>Marrocos</t>
        </is>
      </c>
      <c r="H79" t="inlineStr">
        <is>
          <t>2026-06-29</t>
        </is>
      </c>
      <c r="I79">
        <f>H79</f>
        <v/>
      </c>
      <c r="J79" t="inlineStr">
        <is>
          <t>22:00</t>
        </is>
      </c>
      <c r="K79" t="n">
        <v>3</v>
      </c>
    </row>
    <row r="80">
      <c r="A80" t="n">
        <v>76</v>
      </c>
      <c r="B80" t="inlineStr">
        <is>
          <t>R32</t>
        </is>
      </c>
      <c r="C80" t="inlineStr">
        <is>
          <t>Brasil</t>
        </is>
      </c>
      <c r="D80" t="n">
        <v>3</v>
      </c>
      <c r="E80" t="inlineStr">
        <is>
          <t>X</t>
        </is>
      </c>
      <c r="F80" t="n">
        <v>2</v>
      </c>
      <c r="G80" t="inlineStr">
        <is>
          <t>Japão</t>
        </is>
      </c>
      <c r="H80" t="inlineStr">
        <is>
          <t>2026-06-29</t>
        </is>
      </c>
      <c r="I80">
        <f>H80</f>
        <v/>
      </c>
      <c r="J80" t="inlineStr">
        <is>
          <t>14:00</t>
        </is>
      </c>
      <c r="K80">
        <f>IF(AND(ISNUMBER(D80),ISNUMBER(F80),ISNUMBER(Resultados!D80),ISNUMBER(Resultados!F80)),IF(SIGN(D80-F80)=SIGN(Resultados!D80-Resultados!F80),2,0)+IF(D80=Resultados!D80,1,0)+IF(F80=Resultados!F80,1,0)+IF(D80+F80=Resultados!D80+Resultados!F80,1,0),0)</f>
        <v/>
      </c>
    </row>
    <row r="81">
      <c r="A81" t="n">
        <v>77</v>
      </c>
      <c r="B81" t="inlineStr">
        <is>
          <t>R32</t>
        </is>
      </c>
      <c r="C81" t="inlineStr">
        <is>
          <t>França</t>
        </is>
      </c>
      <c r="D81" t="n">
        <v>3</v>
      </c>
      <c r="E81" t="inlineStr">
        <is>
          <t>X</t>
        </is>
      </c>
      <c r="F81" t="n">
        <v>0</v>
      </c>
      <c r="G81" t="inlineStr">
        <is>
          <t>Suécia</t>
        </is>
      </c>
      <c r="H81" t="inlineStr">
        <is>
          <t>2026-06-30</t>
        </is>
      </c>
      <c r="I81">
        <f>H81</f>
        <v/>
      </c>
      <c r="J81" t="inlineStr">
        <is>
          <t>18:00</t>
        </is>
      </c>
      <c r="K81">
        <f>IF(AND(ISNUMBER(D81),ISNUMBER(F81),ISNUMBER(Resultados!D81),ISNUMBER(Resultados!F81)),IF(SIGN(D81-F81)=SIGN(Resultados!D81-Resultados!F81),2,0)+IF(D81=Resultados!D81,1,0)+IF(F81=Resultados!F81,1,0)+IF(D81+F81=Resultados!D81+Resultados!F81,1,0),0)</f>
        <v/>
      </c>
    </row>
    <row r="82">
      <c r="A82" t="n">
        <v>78</v>
      </c>
      <c r="B82" t="inlineStr">
        <is>
          <t>R32</t>
        </is>
      </c>
      <c r="C82" t="inlineStr">
        <is>
          <t>Costa do Marfim</t>
        </is>
      </c>
      <c r="D82" t="n">
        <v>0</v>
      </c>
      <c r="E82" t="inlineStr">
        <is>
          <t>X</t>
        </is>
      </c>
      <c r="F82" t="n">
        <v>0</v>
      </c>
      <c r="G82" t="inlineStr">
        <is>
          <t>Noruega</t>
        </is>
      </c>
      <c r="H82" t="inlineStr">
        <is>
          <t>2026-06-30</t>
        </is>
      </c>
      <c r="I82">
        <f>H82</f>
        <v/>
      </c>
      <c r="J82" t="inlineStr">
        <is>
          <t>14:00</t>
        </is>
      </c>
      <c r="K82">
        <f>IF(AND(ISNUMBER(D82),ISNUMBER(F82),ISNUMBER(Resultados!D82),ISNUMBER(Resultados!F82)),IF(SIGN(D82-F82)=SIGN(Resultados!D82-Resultados!F82),2,0)+IF(D82=Resultados!D82,1,0)+IF(F82=Resultados!F82,1,0)+IF(D82+F82=Resultados!D82+Resultados!F82,1,0),0)</f>
        <v/>
      </c>
    </row>
    <row r="83">
      <c r="A83" t="n">
        <v>79</v>
      </c>
      <c r="B83" t="inlineStr">
        <is>
          <t>R32</t>
        </is>
      </c>
      <c r="C83" t="inlineStr">
        <is>
          <t>México</t>
        </is>
      </c>
      <c r="D83" t="n">
        <v>1</v>
      </c>
      <c r="E83" t="inlineStr">
        <is>
          <t>X</t>
        </is>
      </c>
      <c r="F83" t="n">
        <v>2</v>
      </c>
      <c r="G83" t="inlineStr">
        <is>
          <t>Equador</t>
        </is>
      </c>
      <c r="H83" t="inlineStr">
        <is>
          <t>2026-06-30</t>
        </is>
      </c>
      <c r="I83">
        <f>H83</f>
        <v/>
      </c>
      <c r="J83" t="inlineStr">
        <is>
          <t>22:00</t>
        </is>
      </c>
      <c r="K83">
        <f>IF(AND(ISNUMBER(D83),ISNUMBER(F83),ISNUMBER(Resultados!D83),ISNUMBER(Resultados!F83)),IF(SIGN(D83-F83)=SIGN(Resultados!D83-Resultados!F83),2,0)+IF(D83=Resultados!D83,1,0)+IF(F83=Resultados!F83,1,0)+IF(D83+F83=Resultados!D83+Resultados!F83,1,0),0)</f>
        <v/>
      </c>
    </row>
    <row r="84">
      <c r="A84" t="n">
        <v>80</v>
      </c>
      <c r="B84" t="inlineStr">
        <is>
          <t>R32</t>
        </is>
      </c>
      <c r="C84" t="inlineStr">
        <is>
          <t>Inglaterra</t>
        </is>
      </c>
      <c r="D84" t="n">
        <v>1</v>
      </c>
      <c r="E84" t="inlineStr">
        <is>
          <t>X</t>
        </is>
      </c>
      <c r="F84" t="n">
        <v>2</v>
      </c>
      <c r="G84" t="inlineStr">
        <is>
          <t>RD Congo</t>
        </is>
      </c>
      <c r="H84" t="inlineStr">
        <is>
          <t>2026-07-01</t>
        </is>
      </c>
      <c r="I84">
        <f>H84</f>
        <v/>
      </c>
      <c r="J84" t="inlineStr">
        <is>
          <t>13:00</t>
        </is>
      </c>
      <c r="K84">
        <f>IF(AND(ISNUMBER(D84),ISNUMBER(F84),ISNUMBER(Resultados!D84),ISNUMBER(Resultados!F84)),IF(SIGN(D84-F84)=SIGN(Resultados!D84-Resultados!F84),2,0)+IF(D84=Resultados!D84,1,0)+IF(F84=Resultados!F84,1,0)+IF(D84+F84=Resultados!D84+Resultados!F84,1,0),0)</f>
        <v/>
      </c>
    </row>
    <row r="85">
      <c r="A85" t="n">
        <v>81</v>
      </c>
      <c r="B85" t="inlineStr">
        <is>
          <t>R32</t>
        </is>
      </c>
      <c r="C85" t="inlineStr">
        <is>
          <t>EUA</t>
        </is>
      </c>
      <c r="D85" t="n">
        <v>0</v>
      </c>
      <c r="E85" t="inlineStr">
        <is>
          <t>X</t>
        </is>
      </c>
      <c r="F85" t="n">
        <v>1</v>
      </c>
      <c r="G85" t="inlineStr">
        <is>
          <t>Bósnia</t>
        </is>
      </c>
      <c r="H85" t="inlineStr">
        <is>
          <t>2026-07-01</t>
        </is>
      </c>
      <c r="I85">
        <f>H85</f>
        <v/>
      </c>
      <c r="J85" t="inlineStr">
        <is>
          <t>21:00</t>
        </is>
      </c>
      <c r="K85">
        <f>IF(AND(ISNUMBER(D85),ISNUMBER(F85),ISNUMBER(Resultados!D85),ISNUMBER(Resultados!F85)),IF(SIGN(D85-F85)=SIGN(Resultados!D85-Resultados!F85),2,0)+IF(D85=Resultados!D85,1,0)+IF(F85=Resultados!F85,1,0)+IF(D85+F85=Resultados!D85+Resultados!F85,1,0),0)</f>
        <v/>
      </c>
    </row>
    <row r="86">
      <c r="A86" t="n">
        <v>82</v>
      </c>
      <c r="B86" t="inlineStr">
        <is>
          <t>R32</t>
        </is>
      </c>
      <c r="C86" t="inlineStr">
        <is>
          <t>Bélgica</t>
        </is>
      </c>
      <c r="D86" t="n">
        <v>0</v>
      </c>
      <c r="E86" t="inlineStr">
        <is>
          <t>X</t>
        </is>
      </c>
      <c r="F86" t="n">
        <v>2</v>
      </c>
      <c r="G86" t="inlineStr">
        <is>
          <t>Senegal</t>
        </is>
      </c>
      <c r="H86" t="inlineStr">
        <is>
          <t>2026-07-01</t>
        </is>
      </c>
      <c r="I86">
        <f>H86</f>
        <v/>
      </c>
      <c r="J86" t="inlineStr">
        <is>
          <t>17:00</t>
        </is>
      </c>
      <c r="K86">
        <f>IF(AND(ISNUMBER(D86),ISNUMBER(F86),ISNUMBER(Resultados!D86),ISNUMBER(Resultados!F86)),IF(SIGN(D86-F86)=SIGN(Resultados!D86-Resultados!F86),2,0)+IF(D86=Resultados!D86,1,0)+IF(F86=Resultados!F86,1,0)+IF(D86+F86=Resultados!D86+Resultados!F86,1,0),0)</f>
        <v/>
      </c>
    </row>
    <row r="87">
      <c r="A87" t="n">
        <v>83</v>
      </c>
      <c r="B87" t="inlineStr">
        <is>
          <t>R32</t>
        </is>
      </c>
      <c r="C87" t="inlineStr">
        <is>
          <t>Portugal</t>
        </is>
      </c>
      <c r="D87" t="n">
        <v>2</v>
      </c>
      <c r="E87" t="inlineStr">
        <is>
          <t>X</t>
        </is>
      </c>
      <c r="F87" t="n">
        <v>2</v>
      </c>
      <c r="G87" t="inlineStr">
        <is>
          <t>Croácia</t>
        </is>
      </c>
      <c r="H87" t="inlineStr">
        <is>
          <t>2026-07-02</t>
        </is>
      </c>
      <c r="I87">
        <f>H87</f>
        <v/>
      </c>
      <c r="J87" t="inlineStr">
        <is>
          <t>20:00</t>
        </is>
      </c>
      <c r="K87">
        <f>IF(AND(ISNUMBER(D87),ISNUMBER(F87),ISNUMBER(Resultados!D87),ISNUMBER(Resultados!F87)),IF(SIGN(D87-F87)=SIGN(Resultados!D87-Resultados!F87),2,0)+IF(D87=Resultados!D87,1,0)+IF(F87=Resultados!F87,1,0)+IF(D87+F87=Resultados!D87+Resultados!F87,1,0),0)</f>
        <v/>
      </c>
    </row>
    <row r="88">
      <c r="A88" t="n">
        <v>84</v>
      </c>
      <c r="B88" t="inlineStr">
        <is>
          <t>R32</t>
        </is>
      </c>
      <c r="C88" t="inlineStr">
        <is>
          <t>Espanha</t>
        </is>
      </c>
      <c r="D88" t="n">
        <v>3</v>
      </c>
      <c r="E88" t="inlineStr">
        <is>
          <t>X</t>
        </is>
      </c>
      <c r="F88" t="n">
        <v>2</v>
      </c>
      <c r="G88" t="inlineStr">
        <is>
          <t>Áustria</t>
        </is>
      </c>
      <c r="H88" t="inlineStr">
        <is>
          <t>2026-07-02</t>
        </is>
      </c>
      <c r="I88">
        <f>H88</f>
        <v/>
      </c>
      <c r="J88" t="inlineStr">
        <is>
          <t>16:00</t>
        </is>
      </c>
      <c r="K88">
        <f>IF(AND(ISNUMBER(D88),ISNUMBER(F88),ISNUMBER(Resultados!D88),ISNUMBER(Resultados!F88)),IF(SIGN(D88-F88)=SIGN(Resultados!D88-Resultados!F88),2,0)+IF(D88=Resultados!D88,1,0)+IF(F88=Resultados!F88,1,0)+IF(D88+F88=Resultados!D88+Resultados!F88,1,0),0)</f>
        <v/>
      </c>
    </row>
    <row r="89">
      <c r="A89" t="n">
        <v>85</v>
      </c>
      <c r="B89" t="inlineStr">
        <is>
          <t>R32</t>
        </is>
      </c>
      <c r="C89" t="inlineStr">
        <is>
          <t>Suíça</t>
        </is>
      </c>
      <c r="D89" t="n">
        <v>0</v>
      </c>
      <c r="E89" t="inlineStr">
        <is>
          <t>X</t>
        </is>
      </c>
      <c r="F89" t="n">
        <v>3</v>
      </c>
      <c r="G89" t="inlineStr">
        <is>
          <t>Argélia</t>
        </is>
      </c>
      <c r="H89" t="inlineStr">
        <is>
          <t>2026-07-03</t>
        </is>
      </c>
      <c r="I89">
        <f>H89</f>
        <v/>
      </c>
      <c r="J89" t="inlineStr">
        <is>
          <t>00:00</t>
        </is>
      </c>
      <c r="K89">
        <f>IF(AND(ISNUMBER(D89),ISNUMBER(F89),ISNUMBER(Resultados!D89),ISNUMBER(Resultados!F89)),IF(SIGN(D89-F89)=SIGN(Resultados!D89-Resultados!F89),2,0)+IF(D89=Resultados!D89,1,0)+IF(F89=Resultados!F89,1,0)+IF(D89+F89=Resultados!D89+Resultados!F89,1,0),0)</f>
        <v/>
      </c>
    </row>
    <row r="90">
      <c r="A90" t="n">
        <v>86</v>
      </c>
      <c r="B90" t="inlineStr">
        <is>
          <t>R32</t>
        </is>
      </c>
      <c r="C90" t="inlineStr">
        <is>
          <t>Argentina</t>
        </is>
      </c>
      <c r="D90" t="n">
        <v>3</v>
      </c>
      <c r="E90" t="inlineStr">
        <is>
          <t>X</t>
        </is>
      </c>
      <c r="F90" t="n">
        <v>1</v>
      </c>
      <c r="G90" t="inlineStr">
        <is>
          <t>Cabo Verde</t>
        </is>
      </c>
      <c r="H90" t="inlineStr">
        <is>
          <t>2026-07-03</t>
        </is>
      </c>
      <c r="I90">
        <f>H90</f>
        <v/>
      </c>
      <c r="J90" t="inlineStr">
        <is>
          <t>19:00</t>
        </is>
      </c>
      <c r="K90">
        <f>IF(AND(ISNUMBER(D90),ISNUMBER(F90),ISNUMBER(Resultados!D90),ISNUMBER(Resultados!F90)),IF(SIGN(D90-F90)=SIGN(Resultados!D90-Resultados!F90),2,0)+IF(D90=Resultados!D90,1,0)+IF(F90=Resultados!F90,1,0)+IF(D90+F90=Resultados!D90+Resultados!F90,1,0),0)</f>
        <v/>
      </c>
    </row>
    <row r="91">
      <c r="A91" t="n">
        <v>87</v>
      </c>
      <c r="B91" t="inlineStr">
        <is>
          <t>R32</t>
        </is>
      </c>
      <c r="C91" t="inlineStr">
        <is>
          <t>Colômbia</t>
        </is>
      </c>
      <c r="D91" t="n">
        <v>2</v>
      </c>
      <c r="E91" t="inlineStr">
        <is>
          <t>X</t>
        </is>
      </c>
      <c r="F91" t="n">
        <v>2</v>
      </c>
      <c r="G91" t="inlineStr">
        <is>
          <t>Gana</t>
        </is>
      </c>
      <c r="H91" t="inlineStr">
        <is>
          <t>2026-07-03</t>
        </is>
      </c>
      <c r="I91">
        <f>H91</f>
        <v/>
      </c>
      <c r="J91" t="inlineStr">
        <is>
          <t>22:30</t>
        </is>
      </c>
      <c r="K91">
        <f>IF(AND(ISNUMBER(D91),ISNUMBER(F91),ISNUMBER(Resultados!D91),ISNUMBER(Resultados!F91)),IF(SIGN(D91-F91)=SIGN(Resultados!D91-Resultados!F91),2,0)+IF(D91=Resultados!D91,1,0)+IF(F91=Resultados!F91,1,0)+IF(D91+F91=Resultados!D91+Resultados!F91,1,0),0)</f>
        <v/>
      </c>
    </row>
    <row r="92">
      <c r="A92" t="n">
        <v>88</v>
      </c>
      <c r="B92" t="inlineStr">
        <is>
          <t>R32</t>
        </is>
      </c>
      <c r="C92" t="inlineStr">
        <is>
          <t>Austrália</t>
        </is>
      </c>
      <c r="D92" t="n">
        <v>1</v>
      </c>
      <c r="E92" t="inlineStr">
        <is>
          <t>X</t>
        </is>
      </c>
      <c r="F92" t="n">
        <v>0</v>
      </c>
      <c r="G92" t="inlineStr">
        <is>
          <t>Egito</t>
        </is>
      </c>
      <c r="H92" t="inlineStr">
        <is>
          <t>2026-07-03</t>
        </is>
      </c>
      <c r="I92">
        <f>H92</f>
        <v/>
      </c>
      <c r="J92" t="inlineStr">
        <is>
          <t>15:00</t>
        </is>
      </c>
      <c r="K92" t="n">
        <v>1</v>
      </c>
    </row>
    <row r="93">
      <c r="A93" t="n">
        <v>89</v>
      </c>
      <c r="B93" t="inlineStr">
        <is>
          <t>R16</t>
        </is>
      </c>
      <c r="C93" t="inlineStr">
        <is>
          <t>Paraguai</t>
        </is>
      </c>
      <c r="D93" t="n">
        <v>1</v>
      </c>
      <c r="E93" t="inlineStr">
        <is>
          <t>X</t>
        </is>
      </c>
      <c r="F93" t="n">
        <v>8</v>
      </c>
      <c r="G93" t="inlineStr">
        <is>
          <t>França</t>
        </is>
      </c>
      <c r="H93" t="inlineStr">
        <is>
          <t>2026-07-04</t>
        </is>
      </c>
      <c r="I93">
        <f>H93</f>
        <v/>
      </c>
      <c r="J93" t="inlineStr">
        <is>
          <t>18:00</t>
        </is>
      </c>
      <c r="K93">
        <f>IF(AND(ISNUMBER(D93),ISNUMBER(F93),ISNUMBER(Resultados!D93),ISNUMBER(Resultados!F93)),IF(SIGN(D93-F93)=SIGN(Resultados!D93-Resultados!F93),2,0)+IF(D93=Resultados!D93,1,0)+IF(F93=Resultados!F93,1,0)+IF(D93+F93=Resultados!D93+Resultados!F93,1,0),0)</f>
        <v/>
      </c>
    </row>
    <row r="94">
      <c r="A94" t="n">
        <v>90</v>
      </c>
      <c r="B94" t="inlineStr">
        <is>
          <t>R16</t>
        </is>
      </c>
      <c r="C94" t="inlineStr">
        <is>
          <t>Canadá</t>
        </is>
      </c>
      <c r="D94" t="n">
        <v>1</v>
      </c>
      <c r="E94" t="inlineStr">
        <is>
          <t>X</t>
        </is>
      </c>
      <c r="F94" t="n">
        <v>4</v>
      </c>
      <c r="G94" t="inlineStr">
        <is>
          <t>Marrocos</t>
        </is>
      </c>
      <c r="H94" t="inlineStr">
        <is>
          <t>2026-07-04</t>
        </is>
      </c>
      <c r="I94">
        <f>H94</f>
        <v/>
      </c>
      <c r="J94" t="inlineStr">
        <is>
          <t>14:00</t>
        </is>
      </c>
      <c r="K94">
        <f>IF(AND(ISNUMBER(D94),ISNUMBER(F94),ISNUMBER(Resultados!D94),ISNUMBER(Resultados!F94)),IF(SIGN(D94-F94)=SIGN(Resultados!D94-Resultados!F94),2,0)+IF(D94=Resultados!D94,1,0)+IF(F94=Resultados!F94,1,0)+IF(D94+F94=Resultados!D94+Resultados!F94,1,0),0)</f>
        <v/>
      </c>
    </row>
    <row r="95">
      <c r="A95" t="n">
        <v>91</v>
      </c>
      <c r="B95" t="inlineStr">
        <is>
          <t>R16</t>
        </is>
      </c>
      <c r="C95" t="inlineStr">
        <is>
          <t>Brasil</t>
        </is>
      </c>
      <c r="D95" t="n">
        <v>4</v>
      </c>
      <c r="E95" t="inlineStr">
        <is>
          <t>X</t>
        </is>
      </c>
      <c r="F95" t="n">
        <v>2</v>
      </c>
      <c r="G95" t="inlineStr">
        <is>
          <t>Noruega</t>
        </is>
      </c>
      <c r="H95" t="inlineStr">
        <is>
          <t>2026-07-05</t>
        </is>
      </c>
      <c r="I95">
        <f>H95</f>
        <v/>
      </c>
      <c r="J95" t="inlineStr">
        <is>
          <t>17:00</t>
        </is>
      </c>
      <c r="K95">
        <f>IF(AND(ISNUMBER(D95),ISNUMBER(F95),ISNUMBER(Resultados!D95),ISNUMBER(Resultados!F95)),IF(SIGN(D95-F95)=SIGN(Resultados!D95-Resultados!F95),2,0)+IF(D95=Resultados!D95,1,0)+IF(F95=Resultados!F95,1,0)+IF(D95+F95=Resultados!D95+Resultados!F95,1,0),0)</f>
        <v/>
      </c>
    </row>
    <row r="96">
      <c r="A96" t="n">
        <v>92</v>
      </c>
      <c r="B96" t="inlineStr">
        <is>
          <t>R16</t>
        </is>
      </c>
      <c r="C96" t="inlineStr">
        <is>
          <t>México</t>
        </is>
      </c>
      <c r="D96" t="n">
        <v>2</v>
      </c>
      <c r="E96" t="inlineStr">
        <is>
          <t>X</t>
        </is>
      </c>
      <c r="F96" t="n">
        <v>2</v>
      </c>
      <c r="G96" t="inlineStr">
        <is>
          <t>Inglaterra</t>
        </is>
      </c>
      <c r="H96" t="inlineStr">
        <is>
          <t>2026-07-05</t>
        </is>
      </c>
      <c r="I96">
        <f>H96</f>
        <v/>
      </c>
      <c r="J96" t="inlineStr">
        <is>
          <t>21:00</t>
        </is>
      </c>
      <c r="K96">
        <f>IF(AND(ISNUMBER(D96),ISNUMBER(F96),ISNUMBER(Resultados!D96),ISNUMBER(Resultados!F96)),IF(SIGN(D96-F96)=SIGN(Resultados!D96-Resultados!F96),2,0)+IF(D96=Resultados!D96,1,0)+IF(F96=Resultados!F96,1,0)+IF(D96+F96=Resultados!D96+Resultados!F96,1,0),0)</f>
        <v/>
      </c>
    </row>
    <row r="97">
      <c r="A97" t="n">
        <v>93</v>
      </c>
      <c r="B97" t="inlineStr">
        <is>
          <t>R16</t>
        </is>
      </c>
      <c r="C97" t="inlineStr">
        <is>
          <t>Portugal</t>
        </is>
      </c>
      <c r="D97" t="n">
        <v>2</v>
      </c>
      <c r="E97" t="inlineStr">
        <is>
          <t>X</t>
        </is>
      </c>
      <c r="F97" t="n">
        <v>2</v>
      </c>
      <c r="G97" t="inlineStr">
        <is>
          <t>Espanha</t>
        </is>
      </c>
      <c r="H97" t="inlineStr">
        <is>
          <t>2026-07-06</t>
        </is>
      </c>
      <c r="I97">
        <f>H97</f>
        <v/>
      </c>
      <c r="J97" t="inlineStr">
        <is>
          <t>16:00</t>
        </is>
      </c>
      <c r="K97">
        <f>IF(AND(ISNUMBER(D97),ISNUMBER(F97),ISNUMBER(Resultados!D97),ISNUMBER(Resultados!F97)),IF(SIGN(D97-F97)=SIGN(Resultados!D97-Resultados!F97),2,0)+IF(D97=Resultados!D97,1,0)+IF(F97=Resultados!F97,1,0)+IF(D97+F97=Resultados!D97+Resultados!F97,1,0),0)</f>
        <v/>
      </c>
    </row>
    <row r="98">
      <c r="A98" t="n">
        <v>94</v>
      </c>
      <c r="B98" t="inlineStr">
        <is>
          <t>R16</t>
        </is>
      </c>
      <c r="C98" t="inlineStr">
        <is>
          <t>EUA</t>
        </is>
      </c>
      <c r="D98" t="n">
        <v>1</v>
      </c>
      <c r="E98" t="inlineStr">
        <is>
          <t>X</t>
        </is>
      </c>
      <c r="F98" t="n">
        <v>3</v>
      </c>
      <c r="G98" t="inlineStr">
        <is>
          <t>Bélgica</t>
        </is>
      </c>
      <c r="H98" t="inlineStr">
        <is>
          <t>2026-07-06</t>
        </is>
      </c>
      <c r="I98">
        <f>H98</f>
        <v/>
      </c>
      <c r="J98" t="inlineStr">
        <is>
          <t>21:00</t>
        </is>
      </c>
      <c r="K98">
        <f>IF(AND(ISNUMBER(D98),ISNUMBER(F98),ISNUMBER(Resultados!D98),ISNUMBER(Resultados!F98)),IF(SIGN(D98-F98)=SIGN(Resultados!D98-Resultados!F98),2,0)+IF(D98=Resultados!D98,1,0)+IF(F98=Resultados!F98,1,0)+IF(D98+F98=Resultados!D98+Resultados!F98,1,0),0)</f>
        <v/>
      </c>
    </row>
    <row r="99">
      <c r="A99" t="n">
        <v>95</v>
      </c>
      <c r="B99" t="inlineStr">
        <is>
          <t>R16</t>
        </is>
      </c>
      <c r="C99" t="inlineStr">
        <is>
          <t>Argentina</t>
        </is>
      </c>
      <c r="D99" t="n">
        <v>3</v>
      </c>
      <c r="E99" t="inlineStr">
        <is>
          <t>X</t>
        </is>
      </c>
      <c r="F99" t="n">
        <v>1</v>
      </c>
      <c r="G99" t="inlineStr">
        <is>
          <t>Egito</t>
        </is>
      </c>
      <c r="H99" t="inlineStr">
        <is>
          <t>2026-07-07</t>
        </is>
      </c>
      <c r="I99">
        <f>H99</f>
        <v/>
      </c>
      <c r="J99" t="inlineStr">
        <is>
          <t>13:00</t>
        </is>
      </c>
      <c r="K99">
        <f>IF(AND(ISNUMBER(D99),ISNUMBER(F99),ISNUMBER(Resultados!D99),ISNUMBER(Resultados!F99)),IF(SIGN(D99-F99)=SIGN(Resultados!D99-Resultados!F99),2,0)+IF(D99=Resultados!D99,1,0)+IF(F99=Resultados!F99,1,0)+IF(D99+F99=Resultados!D99+Resultados!F99,1,0),0)</f>
        <v/>
      </c>
    </row>
    <row r="100">
      <c r="A100" t="n">
        <v>96</v>
      </c>
      <c r="B100" t="inlineStr">
        <is>
          <t>R16</t>
        </is>
      </c>
      <c r="C100" t="inlineStr">
        <is>
          <t>Suíça</t>
        </is>
      </c>
      <c r="E100" t="inlineStr">
        <is>
          <t>X</t>
        </is>
      </c>
      <c r="G100" t="inlineStr">
        <is>
          <t>Colômbia</t>
        </is>
      </c>
      <c r="H100" t="inlineStr">
        <is>
          <t>2026-07-07</t>
        </is>
      </c>
      <c r="I100">
        <f>H100</f>
        <v/>
      </c>
      <c r="J100" t="inlineStr">
        <is>
          <t>17:00</t>
        </is>
      </c>
      <c r="K100" t="n">
        <v>0</v>
      </c>
    </row>
    <row r="101">
      <c r="A101" t="n">
        <v>97</v>
      </c>
      <c r="B101" t="inlineStr">
        <is>
          <t>QF</t>
        </is>
      </c>
      <c r="C101" t="inlineStr">
        <is>
          <t>França</t>
        </is>
      </c>
      <c r="E101" t="inlineStr">
        <is>
          <t>X</t>
        </is>
      </c>
      <c r="G101" t="inlineStr">
        <is>
          <t>Marrocos</t>
        </is>
      </c>
      <c r="H101" t="inlineStr">
        <is>
          <t>2026-07-09</t>
        </is>
      </c>
      <c r="I101">
        <f>H101</f>
        <v/>
      </c>
      <c r="J101" t="inlineStr">
        <is>
          <t>17:00</t>
        </is>
      </c>
      <c r="K101">
        <f>IF(AND(ISNUMBER(D101),ISNUMBER(F101),ISNUMBER(Resultados!D101),ISNUMBER(Resultados!F101)),IF(SIGN(D101-F101)=SIGN(Resultados!D101-Resultados!F101),2,0)+IF(D101=Resultados!D101,1,0)+IF(F101=Resultados!F101,1,0)+IF(D101+F101=Resultados!D101+Resultados!F101,1,0),0)</f>
        <v/>
      </c>
    </row>
    <row r="102">
      <c r="A102" t="n">
        <v>98</v>
      </c>
      <c r="B102" t="inlineStr">
        <is>
          <t>QF</t>
        </is>
      </c>
      <c r="C102" t="inlineStr">
        <is>
          <t>Espanha</t>
        </is>
      </c>
      <c r="E102" t="inlineStr">
        <is>
          <t>X</t>
        </is>
      </c>
      <c r="G102" t="inlineStr">
        <is>
          <t>Bélgica</t>
        </is>
      </c>
      <c r="H102" t="inlineStr">
        <is>
          <t>2026-07-10</t>
        </is>
      </c>
      <c r="I102">
        <f>H102</f>
        <v/>
      </c>
      <c r="J102" t="inlineStr">
        <is>
          <t>13:00</t>
        </is>
      </c>
      <c r="K102">
        <f>IF(AND(ISNUMBER(D102),ISNUMBER(F102),ISNUMBER(Resultados!D102),ISNUMBER(Resultados!F102)),IF(SIGN(D102-F102)=SIGN(Resultados!D102-Resultados!F102),2,0)+IF(D102=Resultados!D102,1,0)+IF(F102=Resultados!F102,1,0)+IF(D102+F102=Resultados!D102+Resultados!F102,1,0),0)</f>
        <v/>
      </c>
    </row>
    <row r="103">
      <c r="A103" t="n">
        <v>99</v>
      </c>
      <c r="B103" t="inlineStr">
        <is>
          <t>QF</t>
        </is>
      </c>
      <c r="C103" t="inlineStr">
        <is>
          <t>Noruega</t>
        </is>
      </c>
      <c r="E103" t="inlineStr">
        <is>
          <t>X</t>
        </is>
      </c>
      <c r="G103" t="inlineStr">
        <is>
          <t>Inglaterra</t>
        </is>
      </c>
      <c r="H103" t="inlineStr">
        <is>
          <t>2026-07-11</t>
        </is>
      </c>
      <c r="I103">
        <f>H103</f>
        <v/>
      </c>
      <c r="J103" t="inlineStr">
        <is>
          <t>18:00</t>
        </is>
      </c>
      <c r="K103">
        <f>IF(AND(ISNUMBER(D103),ISNUMBER(F103),ISNUMBER(Resultados!D103),ISNUMBER(Resultados!F103)),IF(SIGN(D103-F103)=SIGN(Resultados!D103-Resultados!F103),2,0)+IF(D103=Resultados!D103,1,0)+IF(F103=Resultados!F103,1,0)+IF(D103+F103=Resultados!D103+Resultados!F103,1,0),0)</f>
        <v/>
      </c>
    </row>
    <row r="104">
      <c r="A104" t="n">
        <v>100</v>
      </c>
      <c r="B104" t="inlineStr">
        <is>
          <t>QF</t>
        </is>
      </c>
      <c r="C104" t="inlineStr">
        <is>
          <t>Argentina</t>
        </is>
      </c>
      <c r="E104" t="inlineStr">
        <is>
          <t>X</t>
        </is>
      </c>
      <c r="G104" t="inlineStr">
        <is>
          <t>Suíça</t>
        </is>
      </c>
      <c r="H104" t="inlineStr">
        <is>
          <t>2026-07-11</t>
        </is>
      </c>
      <c r="I104">
        <f>H104</f>
        <v/>
      </c>
      <c r="J104" t="inlineStr">
        <is>
          <t>21:00</t>
        </is>
      </c>
      <c r="K104">
        <f>IF(AND(ISNUMBER(D104),ISNUMBER(F104),ISNUMBER(Resultados!D104),ISNUMBER(Resultados!F104)),IF(SIGN(D104-F104)=SIGN(Resultados!D104-Resultados!F104),2,0)+IF(D104=Resultados!D104,1,0)+IF(F104=Resultados!F104,1,0)+IF(D104+F104=Resultados!D104+Resultados!F104,1,0),0)</f>
        <v/>
      </c>
    </row>
    <row r="105">
      <c r="A105" t="n">
        <v>101</v>
      </c>
      <c r="B105" t="inlineStr">
        <is>
          <t>SF</t>
        </is>
      </c>
      <c r="C105" t="inlineStr">
        <is>
          <t>França</t>
        </is>
      </c>
      <c r="E105" t="inlineStr">
        <is>
          <t>X</t>
        </is>
      </c>
      <c r="G105" t="inlineStr">
        <is>
          <t>Espanha</t>
        </is>
      </c>
      <c r="H105" t="inlineStr">
        <is>
          <t>2026-07-14</t>
        </is>
      </c>
      <c r="I105">
        <f>H105</f>
        <v/>
      </c>
      <c r="J105" t="inlineStr">
        <is>
          <t>16:00</t>
        </is>
      </c>
      <c r="K105">
        <f>IF(AND(ISNUMBER(D105),ISNUMBER(F105),ISNUMBER(Resultados!D105),ISNUMBER(Resultados!F105)),IF(SIGN(D105-F105)=SIGN(Resultados!D105-Resultados!F105),2,0)+IF(D105=Resultados!D105,1,0)+IF(F105=Resultados!F105,1,0)+IF(D105+F105=Resultados!D105+Resultados!F105,1,0),0)</f>
        <v/>
      </c>
    </row>
    <row r="106">
      <c r="A106" t="n">
        <v>102</v>
      </c>
      <c r="B106" t="inlineStr">
        <is>
          <t>SF</t>
        </is>
      </c>
      <c r="C106" t="inlineStr">
        <is>
          <t>Inglaterra</t>
        </is>
      </c>
      <c r="E106" t="inlineStr">
        <is>
          <t>X</t>
        </is>
      </c>
      <c r="G106" t="inlineStr">
        <is>
          <t>Argentina</t>
        </is>
      </c>
      <c r="H106" t="inlineStr">
        <is>
          <t>2026-07-15</t>
        </is>
      </c>
      <c r="I106">
        <f>H106</f>
        <v/>
      </c>
      <c r="J106" t="inlineStr">
        <is>
          <t>16:00</t>
        </is>
      </c>
      <c r="K106">
        <f>IF(AND(ISNUMBER(D106),ISNUMBER(F106),ISNUMBER(Resultados!D106),ISNUMBER(Resultados!F106)),IF(SIGN(D106-F106)=SIGN(Resultados!D106-Resultados!F106),2,0)+IF(D106=Resultados!D106,1,0)+IF(F106=Resultados!F106,1,0)+IF(D106+F106=Resultados!D106+Resultados!F106,1,0),0)</f>
        <v/>
      </c>
    </row>
    <row r="107">
      <c r="A107" t="n">
        <v>103</v>
      </c>
      <c r="B107" t="inlineStr">
        <is>
          <t>3º Lugar</t>
        </is>
      </c>
      <c r="C107" t="inlineStr">
        <is>
          <t>França</t>
        </is>
      </c>
      <c r="E107" t="inlineStr">
        <is>
          <t>X</t>
        </is>
      </c>
      <c r="G107" t="inlineStr">
        <is>
          <t>Inglaterra</t>
        </is>
      </c>
      <c r="H107" t="inlineStr">
        <is>
          <t>2026-07-18</t>
        </is>
      </c>
      <c r="I107">
        <f>H107</f>
        <v/>
      </c>
      <c r="J107" t="inlineStr">
        <is>
          <t>18:00</t>
        </is>
      </c>
      <c r="K107">
        <f>IF(AND(ISNUMBER(D107),ISNUMBER(F107),ISNUMBER(Resultados!D107),ISNUMBER(Resultados!F107)),IF(SIGN(D107-F107)=SIGN(Resultados!D107-Resultados!F107),2,0)+IF(D107=Resultados!D107,1,0)+IF(F107=Resultados!F107,1,0)+IF(D107+F107=Resultados!D107+Resultados!F107,1,0),0)</f>
        <v/>
      </c>
    </row>
    <row r="108">
      <c r="A108" t="n">
        <v>104</v>
      </c>
      <c r="B108" t="inlineStr">
        <is>
          <t>Final</t>
        </is>
      </c>
      <c r="C108" t="inlineStr">
        <is>
          <t>Espanha</t>
        </is>
      </c>
      <c r="E108" t="inlineStr">
        <is>
          <t>X</t>
        </is>
      </c>
      <c r="G108" t="inlineStr">
        <is>
          <t>Argentina</t>
        </is>
      </c>
      <c r="H108" t="inlineStr">
        <is>
          <t>2026-07-19</t>
        </is>
      </c>
      <c r="I108">
        <f>H108</f>
        <v/>
      </c>
      <c r="J108" t="inlineStr">
        <is>
          <t>16:00</t>
        </is>
      </c>
      <c r="K108">
        <f>IF(AND(ISNUMBER(D108),ISNUMBER(F108),ISNUMBER(Resultados!D108),ISNUMBER(Resultados!F108)),IF(SIGN(D108-F108)=SIGN(Resultados!D108-Resultados!F108),2,0)+IF(D108=Resultados!D108,1,0)+IF(F108=Resultados!F108,1,0)+IF(D108+F108=Resultados!D108+Resultados!F108,1,0),0)</f>
        <v/>
      </c>
    </row>
  </sheetData>
  <mergeCells count="6">
    <mergeCell ref="F1:I1"/>
    <mergeCell ref="G3:J3"/>
    <mergeCell ref="B3:C3"/>
    <mergeCell ref="A1:E1"/>
    <mergeCell ref="D3:F3"/>
    <mergeCell ref="B2:J2"/>
  </mergeCells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5:P24"/>
  <sheetViews>
    <sheetView showGridLines="0" topLeftCell="A3" zoomScaleNormal="100" workbookViewId="0">
      <selection activeCell="E16" sqref="E16"/>
    </sheetView>
  </sheetViews>
  <sheetFormatPr baseColWidth="8" defaultColWidth="8.7109375" defaultRowHeight="12.75"/>
  <cols>
    <col width="8.7109375" customWidth="1" style="31" min="1" max="3"/>
    <col width="12.42578125" customWidth="1" style="31" min="4" max="4"/>
    <col width="12.140625" bestFit="1" customWidth="1" style="31" min="5" max="5"/>
    <col width="11" customWidth="1" style="31" min="6" max="6"/>
    <col width="10.7109375" customWidth="1" style="31" min="7" max="8"/>
    <col width="11.28515625" customWidth="1" style="31" min="9" max="9"/>
    <col width="12.42578125" customWidth="1" style="31" min="10" max="10"/>
    <col width="12.28515625" customWidth="1" style="31" min="11" max="11"/>
    <col width="13.7109375" customWidth="1" style="31" min="12" max="12"/>
    <col width="12.5703125" customWidth="1" style="31" min="13" max="13"/>
    <col width="11.7109375" customWidth="1" style="31" min="14" max="14"/>
    <col width="12.5703125" customWidth="1" style="31" min="15" max="16"/>
    <col width="8.7109375" customWidth="1" style="31" min="17" max="16384"/>
  </cols>
  <sheetData>
    <row r="5">
      <c r="D5" s="30" t="inlineStr">
        <is>
          <t>Beda</t>
        </is>
      </c>
      <c r="E5" s="30" t="inlineStr">
        <is>
          <t>Pedro</t>
        </is>
      </c>
      <c r="F5" s="30" t="inlineStr">
        <is>
          <t>Mauro</t>
        </is>
      </c>
      <c r="G5" s="30" t="inlineStr">
        <is>
          <t>Rodrigo</t>
        </is>
      </c>
      <c r="H5" s="30" t="inlineStr">
        <is>
          <t>Paulo</t>
        </is>
      </c>
      <c r="I5" s="30" t="inlineStr">
        <is>
          <t>Su</t>
        </is>
      </c>
      <c r="J5" s="30" t="inlineStr">
        <is>
          <t>Biral</t>
        </is>
      </c>
      <c r="K5" s="30" t="inlineStr">
        <is>
          <t>Mané</t>
        </is>
      </c>
      <c r="L5" s="30" t="inlineStr">
        <is>
          <t>Romanelli</t>
        </is>
      </c>
      <c r="M5" s="30" t="inlineStr">
        <is>
          <t>AH</t>
        </is>
      </c>
      <c r="N5" s="30" t="inlineStr">
        <is>
          <t>Caio</t>
        </is>
      </c>
      <c r="O5" s="30" t="inlineStr">
        <is>
          <t>Camps</t>
        </is>
      </c>
      <c r="P5" s="30" t="inlineStr">
        <is>
          <t>Kim</t>
        </is>
      </c>
    </row>
    <row r="6">
      <c r="D6" s="30">
        <f>SUM(Beda!K5:K108)</f>
        <v/>
      </c>
      <c r="E6" s="30">
        <f>SUM(Pedro!K5:K108)</f>
        <v/>
      </c>
      <c r="F6" s="30">
        <f>SUM(Mauro!K5:K108)</f>
        <v/>
      </c>
      <c r="G6" s="30">
        <f>SUM(Rodrigo!K5:K108)</f>
        <v/>
      </c>
      <c r="H6" s="30">
        <f>SUM(Paulo!K5:K108)</f>
        <v/>
      </c>
      <c r="I6" s="30">
        <f>SUM(Su!K5:K108)</f>
        <v/>
      </c>
      <c r="J6" s="30">
        <f>SUM(Biral!K5:K108)</f>
        <v/>
      </c>
      <c r="K6" s="30">
        <f>SUM(Mané!K5:K108)</f>
        <v/>
      </c>
      <c r="L6" s="30">
        <f>SUM(Romanelli!K5:K108)</f>
        <v/>
      </c>
      <c r="M6" s="30">
        <f>SUM(AH!K5:K108)</f>
        <v/>
      </c>
      <c r="N6" s="30">
        <f>SUM(Caio!K5:K108)+10</f>
        <v/>
      </c>
      <c r="O6" s="30">
        <f>SUM('Camps '!K5:K108)+10</f>
        <v/>
      </c>
      <c r="P6" s="30">
        <f>SUM(Kim!K5:K108)+10</f>
        <v/>
      </c>
    </row>
    <row r="11" ht="15" customHeight="1">
      <c r="D11" s="32" t="inlineStr">
        <is>
          <t>Participantes</t>
        </is>
      </c>
      <c r="E11" s="32" t="inlineStr">
        <is>
          <t>Pontuação</t>
        </is>
      </c>
    </row>
    <row r="12">
      <c r="D12" s="30" t="inlineStr">
        <is>
          <t>Beda</t>
        </is>
      </c>
      <c r="E12" s="30">
        <f>SUM('Beda'!K5:K108)</f>
        <v/>
      </c>
    </row>
    <row r="13">
      <c r="D13" s="30" t="inlineStr">
        <is>
          <t>Rodrigo</t>
        </is>
      </c>
      <c r="E13" s="30">
        <f>SUM('Rodrigo'!K5:K108)</f>
        <v/>
      </c>
    </row>
    <row r="14">
      <c r="D14" s="30" t="inlineStr">
        <is>
          <t>AH</t>
        </is>
      </c>
      <c r="E14" s="30">
        <f>SUM('AH'!K5:K108)</f>
        <v/>
      </c>
    </row>
    <row r="15">
      <c r="D15" s="30" t="inlineStr">
        <is>
          <t>Romanelli</t>
        </is>
      </c>
      <c r="E15" s="30">
        <f>SUM('Romanelli'!K5:K108)</f>
        <v/>
      </c>
    </row>
    <row r="16">
      <c r="D16" s="30" t="inlineStr">
        <is>
          <t>Su</t>
        </is>
      </c>
      <c r="E16" s="30">
        <f>SUM('Su'!K5:K108)</f>
        <v/>
      </c>
    </row>
    <row r="17">
      <c r="D17" s="30" t="inlineStr">
        <is>
          <t>Caio</t>
        </is>
      </c>
      <c r="E17" s="30">
        <f>SUM('Caio'!K5:K108)+10</f>
        <v/>
      </c>
    </row>
    <row r="18">
      <c r="D18" s="30" t="inlineStr">
        <is>
          <t>Pedro</t>
        </is>
      </c>
      <c r="E18" s="30">
        <f>SUM('Pedro'!K5:K108)</f>
        <v/>
      </c>
    </row>
    <row r="19">
      <c r="D19" s="30" t="inlineStr">
        <is>
          <t>Mané</t>
        </is>
      </c>
      <c r="E19" s="30">
        <f>SUM('Mané'!K5:K108)</f>
        <v/>
      </c>
    </row>
    <row r="20">
      <c r="D20" s="30" t="inlineStr">
        <is>
          <t>Mauro</t>
        </is>
      </c>
      <c r="E20" s="30">
        <f>SUM('Mauro'!K5:K108)</f>
        <v/>
      </c>
    </row>
    <row r="21">
      <c r="D21" s="30" t="inlineStr">
        <is>
          <t>Biral</t>
        </is>
      </c>
      <c r="E21" s="30">
        <f>SUM('Biral'!K5:K108)</f>
        <v/>
      </c>
    </row>
    <row r="22">
      <c r="D22" s="30" t="inlineStr">
        <is>
          <t>Paulo</t>
        </is>
      </c>
      <c r="E22" s="30">
        <f>SUM('Paulo'!K5:K108)</f>
        <v/>
      </c>
    </row>
    <row r="23">
      <c r="D23" s="30" t="inlineStr">
        <is>
          <t>Kim</t>
        </is>
      </c>
      <c r="E23" s="30">
        <f>SUM('Kim'!K5:K108)+10</f>
        <v/>
      </c>
    </row>
    <row r="24">
      <c r="D24" s="30" t="inlineStr">
        <is>
          <t>Camps</t>
        </is>
      </c>
      <c r="E24" s="30">
        <f>SUM('Camps '!K5:K108)+10</f>
        <v/>
      </c>
    </row>
  </sheetData>
  <autoFilter ref="D11:E11">
    <sortState ref="D12:E24">
      <sortCondition descending="1" ref="E11"/>
    </sortState>
  </autoFilter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7"/>
  <sheetViews>
    <sheetView topLeftCell="A8" zoomScaleNormal="100" workbookViewId="0">
      <selection activeCell="C19" sqref="C19"/>
    </sheetView>
  </sheetViews>
  <sheetFormatPr baseColWidth="8" defaultColWidth="8.7109375" defaultRowHeight="12.75"/>
  <sheetData>
    <row r="1" ht="15" customHeight="1">
      <c r="A1" s="26" t="inlineStr">
        <is>
          <t>- Rateio do prêmio:</t>
        </is>
      </c>
    </row>
    <row r="2" ht="15" customHeight="1">
      <c r="A2" s="27" t="inlineStr">
        <is>
          <t xml:space="preserve">            1a. Colocação: 50% do total arrecadado</t>
        </is>
      </c>
    </row>
    <row r="3" ht="15" customHeight="1">
      <c r="A3" s="27" t="inlineStr">
        <is>
          <t xml:space="preserve">            2a. Colocação: 30% do total arrecadado</t>
        </is>
      </c>
    </row>
    <row r="4" ht="15" customHeight="1">
      <c r="A4" s="27" t="inlineStr">
        <is>
          <t xml:space="preserve">            3a. Colocação: 20% do total arrecadado</t>
        </is>
      </c>
    </row>
    <row r="5" ht="15" customHeight="1">
      <c r="A5" s="27" t="n"/>
    </row>
    <row r="6" ht="15" customHeight="1">
      <c r="A6" s="27" t="inlineStr">
        <is>
          <t>- havendo empate de apostadores/participantes em cada uma das colocações, o valor de cada prêmio será dividido em partes iguais aos "empatados". Exemplo: 3 apostadores empataram em pontos ao final da primeira fase e ficaram juntos na 1a. Colocação. Os 50% serão divididos em partes iguais. O mesmo é válido se houver empate de apostadores na 2a. e 3a. colocações.</t>
        </is>
      </c>
    </row>
    <row r="7" ht="15" customHeight="1">
      <c r="A7" s="27" t="n"/>
    </row>
    <row r="8" ht="15" customHeight="1">
      <c r="A8" s="26" t="inlineStr">
        <is>
          <t>- Pontuação:</t>
        </is>
      </c>
    </row>
    <row r="9" ht="15" customHeight="1">
      <c r="A9" s="27" t="inlineStr">
        <is>
          <t>Como prometido ao final da Copa 2018, esse ano pela primeira vez teremos regras que pontuarão mais, e deixarão os acúmulos de pontos mais dinâmicos, dando maiores chances de pontuar "mesmo não acertando o resultado cheio".</t>
        </is>
      </c>
    </row>
    <row r="10" ht="15" customHeight="1">
      <c r="A10" s="28" t="n"/>
    </row>
    <row r="11" ht="15.75" customHeight="1">
      <c r="A11" s="29" t="inlineStr">
        <is>
          <t xml:space="preserve">Regra A - jogos acertando os resultados das partidas = + 2 pontos </t>
        </is>
      </c>
    </row>
    <row r="12" ht="15" customHeight="1">
      <c r="A12" s="27" t="inlineStr">
        <is>
          <t xml:space="preserve">            Exemplo: quem apostou na vitória do México contra a África do Sul, e México venceu o jogo (independente de placar), marca 2 pontos.</t>
        </is>
      </c>
    </row>
    <row r="13" ht="15" customHeight="1">
      <c r="A13" s="27" t="inlineStr">
        <is>
          <t xml:space="preserve">            Exemplo: quem apostou no empate entre Canadá e Bósnia, e deu empate (independente do placar), marca 2 pontos.</t>
        </is>
      </c>
    </row>
    <row r="14" ht="15" customHeight="1">
      <c r="A14" s="28" t="n"/>
    </row>
    <row r="15" ht="15.75" customHeight="1">
      <c r="A15" s="29" t="inlineStr">
        <is>
          <t>Regra B - jogos acertando o número de gols do "time A" = + 1 ponto</t>
        </is>
      </c>
    </row>
    <row r="16" ht="15.75" customHeight="1">
      <c r="A16" s="27" t="inlineStr">
        <is>
          <t xml:space="preserve">              - jogos acertando o número de gols do "time B" = + 1 ponto </t>
        </is>
      </c>
    </row>
    <row r="17" ht="15" customHeight="1">
      <c r="A17" s="27" t="inlineStr">
        <is>
          <t xml:space="preserve">            Exemplo: resultado final oficial do Jogo = México 4 x 2 África do Sul </t>
        </is>
      </c>
    </row>
    <row r="18" ht="15" customHeight="1">
      <c r="A18" s="27" t="inlineStr">
        <is>
          <t xml:space="preserve">                   Aposta: México 4 x 2 África do Sul = marca 2 pontos extras (mais os 2 pontos da regra A)</t>
        </is>
      </c>
    </row>
    <row r="19" ht="15" customHeight="1">
      <c r="A19" s="27" t="inlineStr">
        <is>
          <t xml:space="preserve">                   Aposta: México 4 x 0 África do Sul = marca 1 ponto extra (mais os 2 pontos da regra A)</t>
        </is>
      </c>
    </row>
    <row r="20" ht="15" customHeight="1">
      <c r="A20" s="27" t="inlineStr">
        <is>
          <t xml:space="preserve">                   Aposta: México 0 x 2 África do Sul = marca 1 ponto (sem marcar os pontos da regra A)</t>
        </is>
      </c>
    </row>
    <row r="21" ht="15" customHeight="1">
      <c r="A21" s="27" t="inlineStr">
        <is>
          <t xml:space="preserve">                   Aposta: México 2 x 2 África do Sul = marca 1 ponto (sem marcar os pontos da regra A)</t>
        </is>
      </c>
    </row>
    <row r="22" ht="15" customHeight="1">
      <c r="A22" s="27" t="inlineStr">
        <is>
          <t xml:space="preserve">                   Aposta: México 3 x 1 África do Sul = nenhum ponto extra, marcando só os 2 pontos da regra A.</t>
        </is>
      </c>
    </row>
    <row r="23" ht="15" customHeight="1">
      <c r="A23" s="27" t="inlineStr">
        <is>
          <t>Mesmos raciocínios em caso de Empates.</t>
        </is>
      </c>
    </row>
    <row r="24" ht="15" customHeight="1">
      <c r="A24" s="28" t="n"/>
    </row>
    <row r="25" ht="15.75" customHeight="1">
      <c r="A25" s="29" t="inlineStr">
        <is>
          <t>Regra C - jogos acertando o número total de gols da partida = + 1 ponto</t>
        </is>
      </c>
    </row>
    <row r="26" ht="15" customHeight="1">
      <c r="A26" s="27" t="inlineStr">
        <is>
          <t xml:space="preserve">            Exemplo: resultado final oficial do Jogo = México 4 x 2 África do Sul = SOMATÓRIA: 6 GOLS</t>
        </is>
      </c>
    </row>
    <row r="27" ht="15" customHeight="1">
      <c r="A27" s="27" t="inlineStr">
        <is>
          <t xml:space="preserve">                   Aposta: México 4 x 2 África do Sul = marca + 1 ponto extra (mais os 2 pontos da regra A, mais os 2 pontos da regra B)</t>
        </is>
      </c>
    </row>
    <row r="28" ht="15" customHeight="1">
      <c r="A28" s="27" t="inlineStr">
        <is>
          <t xml:space="preserve">                   Aposta: México 5 x 1 África do Sul = total 6 = marca 1 ponto extra regra C</t>
        </is>
      </c>
    </row>
    <row r="29" ht="15" customHeight="1">
      <c r="A29" s="27" t="inlineStr">
        <is>
          <t xml:space="preserve">                   Aposta: México 3 x 3 África do Sul = total 6 = marca 1 ponto regra C</t>
        </is>
      </c>
    </row>
    <row r="30" ht="15" customHeight="1">
      <c r="A30" s="27" t="inlineStr">
        <is>
          <t xml:space="preserve">                   Aposta: México 2 x 4 África do Sul = total 6 = marca 1 ponto regra C</t>
        </is>
      </c>
    </row>
    <row r="31" ht="15" customHeight="1">
      <c r="A31" s="27" t="inlineStr">
        <is>
          <t xml:space="preserve">                   Aposta: México 5 x 0 África do Sul = nenhum ponto extra da regra C.</t>
        </is>
      </c>
    </row>
    <row r="32" ht="15" customHeight="1">
      <c r="A32" s="27" t="inlineStr">
        <is>
          <t>Mesmos raciocínios em caso de Empates.</t>
        </is>
      </c>
    </row>
    <row r="33" ht="15" customHeight="1">
      <c r="A33" s="28" t="n"/>
    </row>
    <row r="34" ht="15" customHeight="1">
      <c r="A34" s="26" t="inlineStr">
        <is>
          <t>- Apostas e acompanhamento de resultados:</t>
        </is>
      </c>
    </row>
    <row r="35" ht="15" customHeight="1">
      <c r="A35" s="27" t="inlineStr">
        <is>
          <t>Todas as apostas serão divulgadas a todos os participantes. As apostas de cada um dos 72 jogos de cada participante serão visíveis a todos os outros apostadores, inclusive e principalmente as minhas e de meus familiares. Encaminharei ao email de todos, um dia antes do início da Copa, ou seja, dia 10/Junho, o arquivo completo contendo todas elas.</t>
        </is>
      </c>
    </row>
    <row r="36" ht="15" customHeight="1">
      <c r="A36" s="27" t="inlineStr">
        <is>
          <t>Atualizarei o arquivo com a pontuação individual e a classificação/ranking coletiva após cada término de rodada, e enviarei a todos via email.</t>
        </is>
      </c>
    </row>
    <row r="37" ht="15" customHeight="1">
      <c r="A37" s="27" t="n"/>
    </row>
    <row r="38">
      <c r="A38" t="inlineStr">
        <is>
          <t>- Mata-mata (fase eliminatoria) - penaltis e empates:</t>
        </is>
      </c>
    </row>
    <row r="39">
      <c r="A39" t="inlineStr">
        <is>
          <t>Vale o placar ate o fim da prorrogacao (120 min). Os penaltis NAO contam como gols.</t>
        </is>
      </c>
    </row>
    <row r="40">
      <c r="A40" t="inlineStr">
        <is>
          <t>Os 2 pontos do resultado (Regra A) vao para quem ACERTOU o empate dos 120 min OU para quem apontou o time que se CLASSIFICOU nos penaltis.</t>
        </is>
      </c>
    </row>
    <row r="41">
      <c r="A41" t="inlineStr">
        <is>
          <t>Assim, apostar empate pode valer os 5 pontos (Regras A+B+C), igual a fase de grupos - desde que crave o placar.</t>
        </is>
      </c>
    </row>
    <row r="42">
      <c r="A42" t="inlineStr">
        <is>
          <t>Exemplo: jogo 1x1 nos 120 min, classifica o time B nos penaltis:</t>
        </is>
      </c>
    </row>
    <row r="43">
      <c r="A43" t="inlineStr">
        <is>
          <t xml:space="preserve">      Aposta 1x1 = 5 pontos (cravou o empate).</t>
        </is>
      </c>
    </row>
    <row r="44">
      <c r="A44" t="inlineStr">
        <is>
          <t xml:space="preserve">      Aposta 2x2 = 2 pontos (acertou que ia empatar, errou o placar).</t>
        </is>
      </c>
    </row>
    <row r="45">
      <c r="A45" t="inlineStr">
        <is>
          <t xml:space="preserve">      Aposta vitoria do time B (ex.: 0x1) = 2 pontos (apontou quem passou).</t>
        </is>
      </c>
    </row>
    <row r="46">
      <c r="A46" t="inlineStr">
        <is>
          <t xml:space="preserve">      Aposta vitoria do time A = 0 no resultado (Regras B e C ainda valem pelo placar).</t>
        </is>
      </c>
    </row>
    <row r="47">
      <c r="A47" t="inlineStr">
        <is>
          <t>(Atualizacao de 01/07/2026: antes, apostar empate no mata-mata nao marcava os 2 pontos do resultado; agora marca.)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G. Sobrinho</dc:creator>
  <dc:language>en-US</dc:language>
  <dcterms:created xsi:type="dcterms:W3CDTF">1998-05-21T14:53:42Z</dcterms:created>
  <dcterms:modified xsi:type="dcterms:W3CDTF">2026-08-02T05:37:56Z</dcterms:modified>
  <cp:lastModifiedBy>Pedro Ayroza Hassun</cp:lastModifiedBy>
  <cp:revision>0</cp:revision>
  <cp:lastPrinted>2014-06-08T22:01:29Z</cp:lastPrinted>
</cp:coreProperties>
</file>